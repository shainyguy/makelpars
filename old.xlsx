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760" yWindow="32760" windowWidth="20496" windowHeight="7152"/>
  </bookViews>
  <sheets>
    <sheet name="Sheet1" sheetId="2" r:id="rId1"/>
  </sheets>
  <definedNames>
    <definedName name="_xlnm.Print_Titles" localSheetId="0">Sheet1!#REF!</definedName>
    <definedName name="_xlnm.Print_Area" localSheetId="0">Sheet1!$A$1:$S$181</definedName>
  </definedNames>
  <calcPr calcId="144525"/>
</workbook>
</file>

<file path=xl/calcChain.xml><?xml version="1.0" encoding="utf-8"?>
<calcChain xmlns="http://schemas.openxmlformats.org/spreadsheetml/2006/main">
  <c r="K316" i="2" l="1"/>
  <c r="K323" i="2"/>
  <c r="K330" i="2"/>
  <c r="K357" i="2"/>
  <c r="K354" i="2"/>
  <c r="K337" i="2"/>
  <c r="K343" i="2"/>
  <c r="K359" i="2"/>
  <c r="K350" i="2"/>
  <c r="K360" i="2"/>
  <c r="K361" i="2"/>
  <c r="K16" i="2"/>
  <c r="K17" i="2"/>
  <c r="K18" i="2"/>
  <c r="K19" i="2"/>
  <c r="K310" i="2"/>
  <c r="K311" i="2"/>
  <c r="K312" i="2"/>
  <c r="K313" i="2"/>
  <c r="K314" i="2"/>
  <c r="K315" i="2"/>
  <c r="K317" i="2"/>
  <c r="K318" i="2"/>
  <c r="K319" i="2"/>
  <c r="K320" i="2"/>
  <c r="K321" i="2"/>
  <c r="K322" i="2"/>
  <c r="K324" i="2"/>
  <c r="K325" i="2"/>
  <c r="K326" i="2"/>
  <c r="K327" i="2"/>
  <c r="K328" i="2"/>
  <c r="K329" i="2"/>
  <c r="K331" i="2"/>
  <c r="K332" i="2"/>
  <c r="K333" i="2"/>
  <c r="K334" i="2"/>
  <c r="K335" i="2"/>
  <c r="K336" i="2"/>
  <c r="K338" i="2"/>
  <c r="K339" i="2"/>
  <c r="K340" i="2"/>
  <c r="K341" i="2"/>
  <c r="K342" i="2"/>
  <c r="K344" i="2"/>
  <c r="K345" i="2"/>
  <c r="K346" i="2"/>
  <c r="K347" i="2"/>
  <c r="K348" i="2"/>
  <c r="K349" i="2"/>
  <c r="K351" i="2"/>
  <c r="K352" i="2"/>
  <c r="K353" i="2"/>
  <c r="K355" i="2"/>
  <c r="K356" i="2"/>
  <c r="K358" i="2"/>
  <c r="K362" i="2"/>
  <c r="K363" i="2"/>
  <c r="K364" i="2"/>
  <c r="K25" i="2"/>
  <c r="K26" i="2"/>
  <c r="K22" i="2"/>
  <c r="K27" i="2"/>
  <c r="K28" i="2"/>
  <c r="K12" i="2"/>
  <c r="K32" i="2"/>
  <c r="K24" i="2"/>
  <c r="K13" i="2"/>
  <c r="K33" i="2"/>
  <c r="K30" i="2"/>
  <c r="K31" i="2"/>
  <c r="K21" i="2"/>
  <c r="K36" i="2"/>
  <c r="K37" i="2"/>
  <c r="K20" i="2"/>
  <c r="K23" i="2"/>
  <c r="K29" i="2"/>
  <c r="K15" i="2"/>
  <c r="K35" i="2"/>
  <c r="K14" i="2"/>
  <c r="K34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53" i="2"/>
  <c r="K54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55" i="2"/>
  <c r="K56" i="2"/>
  <c r="K57" i="2"/>
  <c r="K58" i="2"/>
  <c r="K59" i="2"/>
  <c r="K60" i="2"/>
  <c r="K61" i="2"/>
  <c r="K62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20" i="2"/>
  <c r="K121" i="2"/>
  <c r="K122" i="2"/>
  <c r="K123" i="2"/>
  <c r="K124" i="2"/>
  <c r="K125" i="2"/>
  <c r="K126" i="2"/>
  <c r="K127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309" i="2"/>
</calcChain>
</file>

<file path=xl/sharedStrings.xml><?xml version="1.0" encoding="utf-8"?>
<sst xmlns="http://schemas.openxmlformats.org/spreadsheetml/2006/main" count="1899" uniqueCount="516">
  <si>
    <t>n1</t>
  </si>
  <si>
    <t>n3</t>
  </si>
  <si>
    <t>n4</t>
  </si>
  <si>
    <t>n5</t>
  </si>
  <si>
    <t>n6</t>
  </si>
  <si>
    <t>n7</t>
  </si>
  <si>
    <t>n8</t>
  </si>
  <si>
    <t>Приложение № 1</t>
  </si>
  <si>
    <t>Санкт-Петербург</t>
  </si>
  <si>
    <t>n9</t>
  </si>
  <si>
    <t>Ставка НДС,%</t>
  </si>
  <si>
    <t>Наименование товара</t>
  </si>
  <si>
    <t>Единица измерения</t>
  </si>
  <si>
    <t>Количество единиц товара в транспортной упаковке</t>
  </si>
  <si>
    <t>Рекомендованная розничная цена, руб.</t>
  </si>
  <si>
    <t>Артикул</t>
  </si>
  <si>
    <t>Номер поля</t>
  </si>
  <si>
    <t>Наименование товара. Формат: текстовый</t>
  </si>
  <si>
    <t>Артикул товара. Формат: любой</t>
  </si>
  <si>
    <t>КОММЕРЧЕСКОЕ  ПРЕДЛОЖЕНИЕ</t>
  </si>
  <si>
    <t>Нижний Новгород</t>
  </si>
  <si>
    <t>Казань</t>
  </si>
  <si>
    <t>Екатеринбург</t>
  </si>
  <si>
    <t>Самара</t>
  </si>
  <si>
    <t>Фото товара</t>
  </si>
  <si>
    <t>n10</t>
  </si>
  <si>
    <t>Уфа</t>
  </si>
  <si>
    <t>В магазины какого города планируете поставлять товар:</t>
  </si>
  <si>
    <t>n2</t>
  </si>
  <si>
    <t>Размеры товара(габариты)</t>
  </si>
  <si>
    <t>Наценка, %</t>
  </si>
  <si>
    <t>Торговая 
марка</t>
  </si>
  <si>
    <t>Номер свидетельства о регистрации торговой марки</t>
  </si>
  <si>
    <t>n11</t>
  </si>
  <si>
    <t>n12</t>
  </si>
  <si>
    <t>n13</t>
  </si>
  <si>
    <t>Фото для сайта Интернет-магазина. На белом фоне, размер: 640х480 пикселей</t>
  </si>
  <si>
    <t>Номер свидетельства о регистрации торговой марки. Формат: текстовый</t>
  </si>
  <si>
    <t>Торговая 
марка. Формат: текстовый</t>
  </si>
  <si>
    <r>
      <t>Единица измерения. В каких единицах измеряется одна товарная единица (шт., м, м</t>
    </r>
    <r>
      <rPr>
        <vertAlign val="superscript"/>
        <sz val="12"/>
        <rFont val="Arial"/>
        <family val="2"/>
        <charset val="204"/>
      </rPr>
      <t>2</t>
    </r>
    <r>
      <rPr>
        <sz val="12"/>
        <rFont val="Arial"/>
        <family val="2"/>
        <charset val="204"/>
      </rPr>
      <t>, погонный м,  кг и т.д.). Формат: текстовый</t>
    </r>
  </si>
  <si>
    <t xml:space="preserve">Количество единиц товара в транспортной упаковке.
Сколько единиц товара содержится в транспортной (заводской) упаковке. Формат: числовой </t>
  </si>
  <si>
    <t>Цена за ед.товара. Формат: числовой с 2 разрядами после запятой</t>
  </si>
  <si>
    <t>Ставка НДС. Ставка м.б. 18%, 10%, не облагается. Формат: числовой с 2 разрядами после запятой</t>
  </si>
  <si>
    <t>Рекомендованная розничная цена. Формат: числовой с 2 разрядами после запятой</t>
  </si>
  <si>
    <t>Наценка. Формат: процентный</t>
  </si>
  <si>
    <t>Описание полей:</t>
  </si>
  <si>
    <t>Описание</t>
  </si>
  <si>
    <t>Размеры товара(габариты). ДлинаХШиринаХГлубина. Формат текстовый</t>
  </si>
  <si>
    <t>Полное наименование компании:</t>
  </si>
  <si>
    <t>Учетный номер сертификата соответствия</t>
  </si>
  <si>
    <t>Учетный номер сертификата соответствия. Формат: числовой</t>
  </si>
  <si>
    <t>Колодка "Мakel" 2 гнезда MGP-101</t>
  </si>
  <si>
    <t>Колодка "Мakel" 2 гнезда с заземлением MGP-111</t>
  </si>
  <si>
    <t>Колодка "Мakel" 3 гнезда MGP-121</t>
  </si>
  <si>
    <t>Колодка "Мakel" 3 гнезда с заземлением MGP-131</t>
  </si>
  <si>
    <t>Колодка "Мakel" 3 гнезда с заземлением с  выключ. MGP-211</t>
  </si>
  <si>
    <t>Колодка "Мakel" 4 гнезда MGP-141</t>
  </si>
  <si>
    <t>Колодка "Мakel" 4 гнезда с заземлением MGP-151</t>
  </si>
  <si>
    <t>Колодка "Мakel" 6 гнезда с заземлением с  выключ. MGP-231</t>
  </si>
  <si>
    <t>"Maкеl" двойник   №10030</t>
  </si>
  <si>
    <t>"Maкеl" двойник   №10031 с заземлением</t>
  </si>
  <si>
    <t>"Maкеl" тройник   №10015 с заземлением</t>
  </si>
  <si>
    <t>"Maкеl" тройник   №10032</t>
  </si>
  <si>
    <t>"Maкеl" тройник   №10033 с заземлением</t>
  </si>
  <si>
    <t>Вилка электрическая "Makel" без заземления №10001 белая</t>
  </si>
  <si>
    <t>Вилка электрическая "Makel" без заземления №10051 чёрная</t>
  </si>
  <si>
    <t>Вилка электрическая "Makel" с заземлением №10002 белая</t>
  </si>
  <si>
    <t>Вилка электрическая "Makel" с заземлением №10052 чёрная</t>
  </si>
  <si>
    <t>Выключатель проходной №10014 белый</t>
  </si>
  <si>
    <t>Выключатель проходной №10064 чёрный</t>
  </si>
  <si>
    <t>Переходник "Makel" №10009 евро</t>
  </si>
  <si>
    <t>Провод для подключения бра 1,8 м. с выкл. №10026 белый</t>
  </si>
  <si>
    <t>Провод для подключения бра 1,8 м. с выкл. №10035 черный</t>
  </si>
  <si>
    <t>Розетка удлинителя "Makel" без заземления №10004 ,белая</t>
  </si>
  <si>
    <t>Розетка удлинителя "Makel" с заземлением № 10003 белая</t>
  </si>
  <si>
    <t xml:space="preserve">Вилка электрическая "Makel" с заземлением  угловая 16А  №10027 </t>
  </si>
  <si>
    <t>№ 63102 Коробка о/у для автомат. выкл. 2авт.  (уп.36шт)</t>
  </si>
  <si>
    <t>№ 63104 Коробка о/у для автомат. выкл. 4авт. (уп.24шт)</t>
  </si>
  <si>
    <t>№ 63106 Коробка  о/у для автомат. выкл. 6авт. о/у  (уп.20шт)</t>
  </si>
  <si>
    <t>№ 63108 Коробка о/у для автомат. выкл. 8авт.  (уп.16шт)</t>
  </si>
  <si>
    <t>№ 63112 Коробка о/у для автомат. выкл. 12авт. (уп.8шт)</t>
  </si>
  <si>
    <t>№ 63116 Коробка о/у для автомат. выкл. 16 авт. (уп.8шт)</t>
  </si>
  <si>
    <t>№ 63124 Коробка о/у для автомат. выкл. 24 авт. (уп.4шт)</t>
  </si>
  <si>
    <t>№ 63136 Коробка о/у для автомат. выкл. 36авт. (уп.4шт)</t>
  </si>
  <si>
    <t>№ 63002 Коробка с/у  для автомат. выкл. 2авт.  (уп.36шт)</t>
  </si>
  <si>
    <t>№ 63004 Коробка с/у  для автомат. выкл. 4авт.  (уп.24шт)</t>
  </si>
  <si>
    <t>№ 63006 Коробка с/у  для автомат. выкл. 6авт.  (уп.20шт)</t>
  </si>
  <si>
    <t>№ 63008 Коробка с/у  для автомат. выкл.8авт.  (уп.16шт)</t>
  </si>
  <si>
    <t>№ 63012 Коробка с/у  для автомат. выкл. 12авт.  (уп.8шт)</t>
  </si>
  <si>
    <t>№ 63016 Коробка с/у  для автомат. выкл. 16 авт. (уп.8шт)</t>
  </si>
  <si>
    <t>№ 63024 Коробка с/у  для автомат. выкл. 24авт. (уп.4шт)</t>
  </si>
  <si>
    <t>№ 63036 Коробка с/у  для автомат. выкл.    36авт.  (уп.4шт)</t>
  </si>
  <si>
    <t>16011 розетка открыт.устан. с  заземл. керамика</t>
  </si>
  <si>
    <t>16012 розетка открыт.устан. без заземл. керамика</t>
  </si>
  <si>
    <t>"Makel Mimoza" №12001 выключатель oднoклавишный</t>
  </si>
  <si>
    <t>"Makel Mimoza" №12003 выключатель двуxклавишный</t>
  </si>
  <si>
    <t>"Makel Mimoza" №12005 выключатель прох. oднoклавишный</t>
  </si>
  <si>
    <t>"Makel Mimoza" №12007 розетка телевизионная</t>
  </si>
  <si>
    <t>"Makel Mimoza" №12011 выключатель peостат  600 Вт.</t>
  </si>
  <si>
    <t>"Makel Mimoza" №12014 розетка телефoнная</t>
  </si>
  <si>
    <t>"Makel Mimoza" №12017 розетка 2 гнезда без заземления</t>
  </si>
  <si>
    <t>"Makel Mimoza" №12021 выключатель oдноклавишный с подсветкой</t>
  </si>
  <si>
    <t>"Makel Mimoza" №12022 розетка без заземления</t>
  </si>
  <si>
    <t>"Makel Mimoza" №12023 выключатель двухклавишный с подсветкой</t>
  </si>
  <si>
    <t>"Makel Mimoza" №12028 розетка с заземлением</t>
  </si>
  <si>
    <t>"Makel Mimoza" №12029 розетка с крышкой</t>
  </si>
  <si>
    <t>"Makel Mimoza" №12035 розетка компьютерная</t>
  </si>
  <si>
    <t>"Makel Mimoza" №12082 розетка 2 гнезда с заземлением</t>
  </si>
  <si>
    <t>"Makel Mimoza" №12091 выключатель трёхклавишный</t>
  </si>
  <si>
    <t>"Makel Mimoza" №22012 рамка 2-ая горизонтальная</t>
  </si>
  <si>
    <t>"Makel Mimoza" №22013 рамка 3-ая горизонтальная</t>
  </si>
  <si>
    <t>"Makel Mimoza" №22039 рамка 4-ая горизонтальная</t>
  </si>
  <si>
    <t>"Makel Mimoza" №22059 рамка 5-ая горизонтальная</t>
  </si>
  <si>
    <t>"Makel Mimoza" №25001 выключатель oднoклавишный крем</t>
  </si>
  <si>
    <t>"Makel Mimoza" №25003 выключатель двуxклавишный  крем</t>
  </si>
  <si>
    <t>"Makel Mimoza" №25005 выключатель проходной oднoклавишный  крем</t>
  </si>
  <si>
    <t>"Makel Mimoza" №25007 розетка телевизионная  крем</t>
  </si>
  <si>
    <t>"Makel Mimoza" №25011 выключатель peостат 600 Вт. крем</t>
  </si>
  <si>
    <t>"Makel Mimoza" №25014 розетка телефoнная  крем</t>
  </si>
  <si>
    <t>"Makel Mimoza" №25017 розетка 2 гнезда без заземления  крем</t>
  </si>
  <si>
    <t>"Makel Mimoza" №25021 выключатель oдноклавишный с подсветкой  крем</t>
  </si>
  <si>
    <t>"Makel Mimoza" №25022 розетка без заземления  крем</t>
  </si>
  <si>
    <t>"Makel Mimoza" №25023 выключатель двухклавишный с подсветкой  крем</t>
  </si>
  <si>
    <t>"Makel Mimoza" №25028 розетка с заземлением  крем</t>
  </si>
  <si>
    <t>"Makel Mimoza" №25029 розетка с крышкой  крем</t>
  </si>
  <si>
    <t>"Makel Mimoza" №25035 розетка компьютерная  крем</t>
  </si>
  <si>
    <t>"Makel Mimoza" №25082 розетка 2 гнезда с заземлением  крем</t>
  </si>
  <si>
    <t>"Makel Mimoza" №25091 выключатель трёхклавишный  крем</t>
  </si>
  <si>
    <t>"Makel Mimoza" №32012 рамка 2-ая горизонтальная  крем</t>
  </si>
  <si>
    <t>"Makel Mimoza" №32013 рамка 3-ая горизонтальная  крем</t>
  </si>
  <si>
    <t>"Makel Mimoza" №32039 рамка 4-ая горизонтальная  крем</t>
  </si>
  <si>
    <t>"Makel Mimoza" №32059 рамка 5-ая горизонтальная  крем</t>
  </si>
  <si>
    <t>ОП "Makel" №45101 Выключатель oднoклавишный</t>
  </si>
  <si>
    <t>ОП "Makel" №45102 Розетка без заземления</t>
  </si>
  <si>
    <t>ОП "Makel" №45103 Выключатель двуxклавишный</t>
  </si>
  <si>
    <t>ОП "Makel" №45105 Проходной выключатель одноклавишный</t>
  </si>
  <si>
    <t>ОП "Makel" №45108 Розетка с заземлением</t>
  </si>
  <si>
    <t>ОП "Makel" №45117 Розетка 2 гнезда без заземления</t>
  </si>
  <si>
    <t>ОП "Makel" №45121 Выключатель oдноклавишный с подсветкой</t>
  </si>
  <si>
    <t>ОП "Makel" №45123 Выключатель двухклавишный с подсветкой</t>
  </si>
  <si>
    <t>ОП "Makel" №45182 Розетка 2 гнезда с заземлением</t>
  </si>
  <si>
    <t>ОП "Makel" №45201 Выключатель oднoклавишный крем</t>
  </si>
  <si>
    <t>ОП "Makel" №45202 Розетка без заземления крем</t>
  </si>
  <si>
    <t>ОП "Makel" №45203 Выключатель двуxклавишный крем</t>
  </si>
  <si>
    <t>ОП "Makel" №45205 Проходной выключатель одноклавишный крем</t>
  </si>
  <si>
    <t>ОП "Makel" №45208 Розетка с заземлением крем</t>
  </si>
  <si>
    <t>ОП "Makel" №45217 Розетка 2 гнезда без заземления крем</t>
  </si>
  <si>
    <t>ОП "Makel" №45221 Выключатель oдноклавишный с подсветкой крем</t>
  </si>
  <si>
    <t>ОП "Makel" №45223 Выключатель двухклавишный с подсветкой крем</t>
  </si>
  <si>
    <t>ОП "Makel" №45282 Розетка 2 гнезда с заземлением крем</t>
  </si>
  <si>
    <t>ОП "Makel" №18300 Выключатель oдноклавишный белый</t>
  </si>
  <si>
    <t>ОП "Makel" №18301 Выключатель двухклавишный белый</t>
  </si>
  <si>
    <t>ОП "Makel" №18304 Розетка с крышкой белая</t>
  </si>
  <si>
    <t>ОП "Makel" №18306 Розетка без заземления белая</t>
  </si>
  <si>
    <t>ОП "Makel" №18308 Розетка с заземлением белая</t>
  </si>
  <si>
    <t>ОП "Makel" №18350 Блок розетка + одноклав.выключатель белый</t>
  </si>
  <si>
    <t>ОП "Makel" №18351 Блок розетка + двухклав.выключатель белый</t>
  </si>
  <si>
    <t>ОП "Makel" №18354 Блок 2-ая розетка белый</t>
  </si>
  <si>
    <t>MAKEL</t>
  </si>
  <si>
    <t>шт.</t>
  </si>
  <si>
    <t>Цена за ед,товара, включая НДС, руб,</t>
  </si>
  <si>
    <t>отказное письмо</t>
  </si>
  <si>
    <t xml:space="preserve"> "MAКEL  KAREА " № 56001001 Выключатель 1 клав. белый</t>
  </si>
  <si>
    <t xml:space="preserve"> "MAКEL  KAREА " № 56001003 Выключатель 2 клав. белый</t>
  </si>
  <si>
    <t xml:space="preserve"> "MAКEL  KAREА " № 56001005 Выключатель 1 клав. проходной белый</t>
  </si>
  <si>
    <t xml:space="preserve"> "MAКEL  KAREА " № 56001007 Розетка TV проходная  белая</t>
  </si>
  <si>
    <t xml:space="preserve"> "MAКEL  KAREА " № 56001011 Диммер  белый</t>
  </si>
  <si>
    <t xml:space="preserve"> "MAКEL  KAREА " № 56001017 Розетка 2гн.без заземления  белая</t>
  </si>
  <si>
    <t xml:space="preserve"> "MAКEL  KAREА " № 56001021 Выключатель 1 клав.с подсвет. белый</t>
  </si>
  <si>
    <t xml:space="preserve"> "MAКEL  KAREА " № 56001022 Розетка без заземления  белая</t>
  </si>
  <si>
    <t xml:space="preserve"> "MAКEL  KAREА " № 56001023 Выключатель 2 клав.с подсвет. белый</t>
  </si>
  <si>
    <t xml:space="preserve"> "MAКEL  KAREА " № 56001028 Розетка с заземлением  белая</t>
  </si>
  <si>
    <t xml:space="preserve"> "MAКEL  KAREА " № 56001029 Розетка с заземлением и крышкой  белая</t>
  </si>
  <si>
    <t xml:space="preserve"> "MAКEL  KAREА " № 56001035 Розетка комп.CAT 5+гнездо  белая</t>
  </si>
  <si>
    <t xml:space="preserve"> "MAКEL  KAREА " № 56001082 Розетка 2гн. с заземлением  белая</t>
  </si>
  <si>
    <t xml:space="preserve"> "MAКEL  KAREА " № 56001091 Выключатель 3 клав. 1вход,3выхода белый</t>
  </si>
  <si>
    <t xml:space="preserve"> "MAКEL  KAREА " № 56001702 Рамка 2-я  белый</t>
  </si>
  <si>
    <t xml:space="preserve"> "MAКEL  KAREА " № 56001703 Рамка 3-я  белый</t>
  </si>
  <si>
    <t xml:space="preserve"> "MAКEL  KAREА " № 56001704 Рамка 4-я  белый</t>
  </si>
  <si>
    <t>№ 36064099 Розетка с заземлением,с крышкой и пруж.зажимом  IP 55</t>
  </si>
  <si>
    <t>№ 36064101 Выключатель   одноклавишный с пруж. зажимом IP 55</t>
  </si>
  <si>
    <t>№ 36064103 Выключатель двухклавишный с пруж. зажимом  IP 55</t>
  </si>
  <si>
    <t>№ 36064105 Выключатель   одноклавишный прох. с пруж. зажимом IP 55</t>
  </si>
  <si>
    <t>№ 36064201 Блок 2-ая розетка c заземл.и крышкой IP55</t>
  </si>
  <si>
    <t>№ 36064206 Блок 2-ая розетка c заземл.,крышкой и пруж.зажимом IP55</t>
  </si>
  <si>
    <t>№ 36064207 Блок одноклав.выключ.+розетка с крышкой и пруж.зажимом IP55</t>
  </si>
  <si>
    <t>№ 36064208 Блок двухклав.выключ.+розетка с крышкой и пруж.зажимом IP55</t>
  </si>
  <si>
    <t>RU C-TR.АД07.В.03364/21</t>
  </si>
  <si>
    <t>MGP101</t>
  </si>
  <si>
    <t>MGP111</t>
  </si>
  <si>
    <t>MGP121</t>
  </si>
  <si>
    <t>MGP131</t>
  </si>
  <si>
    <t>MGP211</t>
  </si>
  <si>
    <t>MGP141</t>
  </si>
  <si>
    <t>MGP151</t>
  </si>
  <si>
    <t>MGP181</t>
  </si>
  <si>
    <t>MGP231</t>
  </si>
  <si>
    <t>MGP102</t>
  </si>
  <si>
    <t>MGP112</t>
  </si>
  <si>
    <t>MGP122</t>
  </si>
  <si>
    <t>MGP212</t>
  </si>
  <si>
    <t>MGP132</t>
  </si>
  <si>
    <t>MGP142</t>
  </si>
  <si>
    <t>MGP152</t>
  </si>
  <si>
    <t>MGP232</t>
  </si>
  <si>
    <t>MGP182</t>
  </si>
  <si>
    <t>MGP103</t>
  </si>
  <si>
    <t>MGP113</t>
  </si>
  <si>
    <t>MGP123</t>
  </si>
  <si>
    <t>MGP133</t>
  </si>
  <si>
    <t>MGP213</t>
  </si>
  <si>
    <t>MGP143</t>
  </si>
  <si>
    <t>MGP153</t>
  </si>
  <si>
    <t>MGP233</t>
  </si>
  <si>
    <t>MGP183</t>
  </si>
  <si>
    <t>MGP104</t>
  </si>
  <si>
    <t>MGP114</t>
  </si>
  <si>
    <t>MGP124</t>
  </si>
  <si>
    <t>MGP214</t>
  </si>
  <si>
    <t>MGP134</t>
  </si>
  <si>
    <t>MGP144</t>
  </si>
  <si>
    <t>MGP154</t>
  </si>
  <si>
    <t>MGP234</t>
  </si>
  <si>
    <t>MGP184</t>
  </si>
  <si>
    <t xml:space="preserve">ООО «МАКЕЛ-Рус» </t>
  </si>
  <si>
    <t>Колодка "Мakel" 3 гнезда с заземлением MGP-2131</t>
  </si>
  <si>
    <t>MGP2131</t>
  </si>
  <si>
    <t xml:space="preserve">Колодка "Мakel" 6 гнезда с заземлением  MGP-181 </t>
  </si>
  <si>
    <t>Колодка "Мakel" 4 гнезда с заземлением MGP-2151</t>
  </si>
  <si>
    <t>MGP2151</t>
  </si>
  <si>
    <t xml:space="preserve">Колодка "Мakel" 6 гнезда с заземлением  MGP-2181 </t>
  </si>
  <si>
    <t>MGP2181</t>
  </si>
  <si>
    <t>RU C-TR.АБ53.В.02346/21</t>
  </si>
  <si>
    <t>MGP107</t>
  </si>
  <si>
    <t>MGP108</t>
  </si>
  <si>
    <t>MGP109</t>
  </si>
  <si>
    <t>MGP117</t>
  </si>
  <si>
    <t>MGP118</t>
  </si>
  <si>
    <t>MGP119</t>
  </si>
  <si>
    <t>MGP127</t>
  </si>
  <si>
    <t>MGP128</t>
  </si>
  <si>
    <t>MGP129</t>
  </si>
  <si>
    <t>MGP137</t>
  </si>
  <si>
    <t>MGP138</t>
  </si>
  <si>
    <t>MGP139</t>
  </si>
  <si>
    <t>MGP147</t>
  </si>
  <si>
    <t>MGP148</t>
  </si>
  <si>
    <t>MGP157</t>
  </si>
  <si>
    <t>MGP158</t>
  </si>
  <si>
    <t>MGP159</t>
  </si>
  <si>
    <t>Улинитель 2 гнезда 2 метра без заземления</t>
  </si>
  <si>
    <t>Улинитель 2 гнезда 3 метра без заземления</t>
  </si>
  <si>
    <t>Улинитель 2 гнезда 5 метров без заземления</t>
  </si>
  <si>
    <t>Улинитель 2 гнезда 7 метров без заземления</t>
  </si>
  <si>
    <t>Улинитель 2 гнезда 10 метров без заземления</t>
  </si>
  <si>
    <t>Улинитель 2 гнезда 15 метров без заземления</t>
  </si>
  <si>
    <t>Улинитель 3 гнезда 2 метра без заземления</t>
  </si>
  <si>
    <t>Улинитель 3 гнезда 3 метра без заземления</t>
  </si>
  <si>
    <t>Улинитель 3 гнезда 5 метров без заземления</t>
  </si>
  <si>
    <t>Улинитель 3 гнезда 7 метров без заземления</t>
  </si>
  <si>
    <t>Улинитель 3 гнезда 10 метров без заземления</t>
  </si>
  <si>
    <t>Улинитель 3 гнезда 15 метров без заземления</t>
  </si>
  <si>
    <t xml:space="preserve">Улинитель 4 гнезда 2 метра без заземления </t>
  </si>
  <si>
    <t xml:space="preserve">Улинитель 4 гнезда 3 метра без заземления </t>
  </si>
  <si>
    <t xml:space="preserve">Улинитель 4 гнезда 5 метров без заземления </t>
  </si>
  <si>
    <t xml:space="preserve">Улинитель 4 гнезда 7 метров без заземления </t>
  </si>
  <si>
    <t xml:space="preserve">Улинитель 4 гнезда 10 метров без заземления </t>
  </si>
  <si>
    <t>Улинитель 3 гнезда 2 метра с заземлением и выключателем</t>
  </si>
  <si>
    <t>Улинитель 3 гнезда 3 метра с заземлением и выключателем</t>
  </si>
  <si>
    <t>Улинитель 2 гнезда 2 метра с заземлением</t>
  </si>
  <si>
    <t>Улинитель 2 гнезда 3 метра с заземлением</t>
  </si>
  <si>
    <t>Улинитель 2 гнезда 5 метров с заземлением</t>
  </si>
  <si>
    <t>Улинитель 2 гнезда 7 метров с заземлением</t>
  </si>
  <si>
    <t>Улинитель 2 гнезда 10 метров с заземлением</t>
  </si>
  <si>
    <t>Улинитель 2 гнезда 15 метров с заземлением</t>
  </si>
  <si>
    <t>Улинитель 3 гнезда 2 метра с заземлением</t>
  </si>
  <si>
    <t>Улинитель 3 гнезда 3 метра с заземлением</t>
  </si>
  <si>
    <t>Улинитель 3 гнезда 5 метров с заземлением</t>
  </si>
  <si>
    <t>Улинитель 3 гнезда 7 метров с заземлением</t>
  </si>
  <si>
    <t>Улинитель 3 гнезда 10 метров с заземлением</t>
  </si>
  <si>
    <t>Улинитель 3 гнезда 15 метров с заземлением</t>
  </si>
  <si>
    <t>Улинитель 4 гнезда 2 метра с заземлением</t>
  </si>
  <si>
    <t>Улинитель 4 гнезда 3 метра с заземлением</t>
  </si>
  <si>
    <t>Улинитель 4 гнезда 5 метров с заземлением</t>
  </si>
  <si>
    <t>Улинитель 4 гнезда 7 метров с заземлением</t>
  </si>
  <si>
    <t>Улинитель 4 гнезда 10 метров с заземлением</t>
  </si>
  <si>
    <t>Улинитель 4 гнезда 15 метров с заземлением</t>
  </si>
  <si>
    <t>Улинитель 6 гнезд 2 метра с заземлением</t>
  </si>
  <si>
    <t>Улинитель 6 гнезд 3 метра с заземлением</t>
  </si>
  <si>
    <t>Улинитель 6 гнезд 5 метров с заземлением</t>
  </si>
  <si>
    <t>Улинитель 3 гнезда 5 метров с заземлением и выключателем</t>
  </si>
  <si>
    <t>Улинитель 6 гнезд 2 метра с заземлением и выключателем</t>
  </si>
  <si>
    <t>Улинитель 6 гнезд 3 метра с заземлением и выключателем</t>
  </si>
  <si>
    <t>Улинитель 6 гнезд 5 метров с заземлением и выключателем</t>
  </si>
  <si>
    <t>RU C-TR.HB26.B.02307/22</t>
  </si>
  <si>
    <t>Розетка удлинителя "Makel" с заземлением № 10053 белая</t>
  </si>
  <si>
    <t>Розетка удлинителя "Makel" без заземления №10054 ,белая</t>
  </si>
  <si>
    <t>Удлинитель 1 гнездо 3 метра с заземлением</t>
  </si>
  <si>
    <t>Удлинитель 1 гнездо 5 метров с заземлением</t>
  </si>
  <si>
    <t>Удлинитель 1 гнездо 3 метра без заземления</t>
  </si>
  <si>
    <t>Удлинитель 1 гнездо 5 метров без заземления</t>
  </si>
  <si>
    <t>RU C-TR.HB73.B.00204/22</t>
  </si>
  <si>
    <t>RU C-TR.HB26.B.02536/22</t>
  </si>
  <si>
    <t>RU C-TR.HA46.B.01067/21</t>
  </si>
  <si>
    <t>0,28x0,15x0,06</t>
  </si>
  <si>
    <t>0,30x0,15x0,06</t>
  </si>
  <si>
    <t>Выключатель одноклавишный KAREA LINE STAR жемчужный MAKEL</t>
  </si>
  <si>
    <t>Выключатель двухклавишный KAREA LINE STAR жемчужный MAKEL</t>
  </si>
  <si>
    <t>Выключатель одноклавишный проходной KAREA LINE STAR жемчужный MAKEL</t>
  </si>
  <si>
    <t>Розетка телевизионная проходная KAREA LINE STAR жемчужный MAKEL</t>
  </si>
  <si>
    <t>Светорегулятор KAREA LINE STAR жемчужный MAKEL</t>
  </si>
  <si>
    <t>Розетка двухпостовая горизонтальная  без заземления 16А KAREA LINE STAR жемчужный MAKEL</t>
  </si>
  <si>
    <t>Выключатель одноклавишный с подсветкой KAREA LINE STAR жемчужный MAKEL</t>
  </si>
  <si>
    <t>Розетка без заземления 16А KAREA LINE STAR жемчужный MAKEL</t>
  </si>
  <si>
    <t>Выключатель двухклавишный с подсветкой KAREA LINE STAR жемчужный MAKEL</t>
  </si>
  <si>
    <t>Розетка с заземлением 16А KAREA LINE STAR жемчужный MAKEL</t>
  </si>
  <si>
    <t>Розетка с заземлением и крышкой  KAREA LINE STAR жемчужный MAKEL</t>
  </si>
  <si>
    <t>Розетка компьютерная CAT5 + гнездо KAREA LINE STAR жемчужный MAKEL</t>
  </si>
  <si>
    <t>Розетка двухпостовая горизонтальная с заземлением 16А KAREA LINE STAR жемчужный MAKEL</t>
  </si>
  <si>
    <t>Выключатель трехклавишный KAREA LINE STAR жемчужный MAKEL</t>
  </si>
  <si>
    <t>Рамка двухпостовая горизонтальная KAREA LINE STAR жемчужный MAKEL</t>
  </si>
  <si>
    <t>Рамка трехпостовая горизонтальная KAREA LINE STAR жемчужный MAKEL</t>
  </si>
  <si>
    <t>Рамка четырехпостовая горизонтальная KAREA LINE STAR жемчужный MAKEL</t>
  </si>
  <si>
    <t>Выключатель одноклавишный KAREA RIZZ белый MAKEL</t>
  </si>
  <si>
    <t>Розетка без заземления 16А (керамика) KAREA RIZZ белый MAKEL</t>
  </si>
  <si>
    <t>Выключатель двухклавишный KAREA RIZZ белый MAKEL</t>
  </si>
  <si>
    <t>Выключатель одноклавишный проходной KAREA RIZZ белый MAKEL</t>
  </si>
  <si>
    <t>Розетка телевизионная проходная KAREA RIZZ белый MAKEL</t>
  </si>
  <si>
    <t>Розетка с заземлением 16А (керамика) KAREA RIZZ белый MAKEL</t>
  </si>
  <si>
    <t>Светорегулятор KAREA RIZZ белый MAKEL</t>
  </si>
  <si>
    <t>Розетка двухпостовая горизонтальная без заземления 16А KAREA RIZZ белый MAKEL</t>
  </si>
  <si>
    <t>Выключатель одноклавишный с подсветкой KAREA RIZZ белый MAKEL</t>
  </si>
  <si>
    <t>Розетка без заземления 16А KAREA RIZZ белый MAKEL</t>
  </si>
  <si>
    <t>Выключатель двухклавишный с подсветкой KAREA RIZZ белый MAKEL</t>
  </si>
  <si>
    <t>Розетка с заземлением 16А   KAREA RIZZ белый MAKEL</t>
  </si>
  <si>
    <t>Розетка с заземлением 16А и крышкой  KAREA RIZZ белый MAKEL</t>
  </si>
  <si>
    <t>Розетка компьютерная CAT5+гнездо KAREA RIZZ белый MAKEL</t>
  </si>
  <si>
    <t>Розетка двухпостовая горизонтальная с заземлением 16А KAREA RIZZ белый MAKEL</t>
  </si>
  <si>
    <t>Выключатель трехклавишный KAREA RIZZ белый MAKEL</t>
  </si>
  <si>
    <t>Рамка двухпостовая горизонтальная  KAREA RIZZ белый MAKEL</t>
  </si>
  <si>
    <t>Рамка трехпостовая горизонтальная KAREA RIZZ белый MAKEL</t>
  </si>
  <si>
    <t>Рамка четырехпостовая горизонтальная  KAREA RIZZ белый MAKEL</t>
  </si>
  <si>
    <t>Выключатель одноклавишный KAREA RIZZ крем MAKEL</t>
  </si>
  <si>
    <t>Розетка без заземления (керамика) KAREA RIZZ крем MAKEL</t>
  </si>
  <si>
    <t>Выключатель двухклавишный KAREA RIZZ крем MAKEL</t>
  </si>
  <si>
    <t>Выключатель одноклавишный проходной KAREA RIZZ крем MAKEL</t>
  </si>
  <si>
    <t>Розетка телевизионная проходная KAREA RIZZ крем MAKEL</t>
  </si>
  <si>
    <t>Розетка с заземлением 16А (керамика) KAREA RIZZ крем MAKEL</t>
  </si>
  <si>
    <t>Светорегулятор KAREA RIZZ крем MAKEL</t>
  </si>
  <si>
    <t>Розетка двухпостовая горизонтальная  без заземления KAREA RIZZ крем MAKEL</t>
  </si>
  <si>
    <t>Выключатель одноклавишный с подсветкой KAREA RIZZ крем MAKEL</t>
  </si>
  <si>
    <t>Розетка без заземления  KAREA RIZZ крем MAKEL</t>
  </si>
  <si>
    <t>Выключатель двухклавишный с подсветкой KAREA RIZZ крем MAKEL</t>
  </si>
  <si>
    <t>Розетка с заземлением 16А   KAREA RIZZ крем MAKEL</t>
  </si>
  <si>
    <t>Розетка с заземлением 16А и крышкой  KAREA RIZZ крем MAKEL</t>
  </si>
  <si>
    <t>Розетка компьютерная CAT5+гнездо KAREA RIZZ крем MAKEL</t>
  </si>
  <si>
    <t>Розетка двухпостовая горизонтальная с заземлением 16А KAREA RIZZ крем MAKEL</t>
  </si>
  <si>
    <t>Выключатель трехклавишный KAREA RIZZ крем MAKEL</t>
  </si>
  <si>
    <t>Рамка двухпостовая горизонтальная  KAREA RIZZ крем MAKEL</t>
  </si>
  <si>
    <t>Рамка трехпостовая горизонтальная KAREA RIZZ крем MAKEL</t>
  </si>
  <si>
    <t>Рамка четырехпостовая горизонтальная  KAREA RIZZ крем MAKEL</t>
  </si>
  <si>
    <t>Выключатель одноклавишный KAREA RIZZ STAR дымчатый MAKEL</t>
  </si>
  <si>
    <t>Выключатель двухклавишный KAREA RIZZ STAR дымчатый MAKEL</t>
  </si>
  <si>
    <t>Выключатель одноклавишный проходной KAREA RIZZ STAR дымчатый MAKEL</t>
  </si>
  <si>
    <t>Розетка телевизионная проходная KAREA RIZZ STAR дымчатый MAKEL</t>
  </si>
  <si>
    <t>Светорегулятор KAREA RIZZ STAR дымчатый MAKEL</t>
  </si>
  <si>
    <t>Розетка двухпостовая горизонтальная  без заземления KAREA RIZZ STAR дымчатый MAKEL</t>
  </si>
  <si>
    <t>Выключатель одноклавишный с подсветкой KAREA RIZZ STAR дымчатый MAKEL</t>
  </si>
  <si>
    <t>Розетка без заземления  KAREA RIZZ STAR дымчатый MAKEL</t>
  </si>
  <si>
    <t>Выключатель двухклавишный с подсветкой KAREA RIZZ STAR дымчатый MAKEL</t>
  </si>
  <si>
    <t>Розетка с заземлением 16А   KAREA RIZZ STAR дымчатый MAKEL</t>
  </si>
  <si>
    <t>Розетка с заземлением 16А и крышкой  KAREA RIZZ STAR дымчатый MAKEL</t>
  </si>
  <si>
    <t>Розетка компьютерная CAT5+гнездо KAREA RIZZ STAR дымчатый MAKEL</t>
  </si>
  <si>
    <t>Розетка двухпостовая горизонтальная с заземлением 16А KAREA RIZZ STAR дымчатый MAKEL</t>
  </si>
  <si>
    <t>Выключатель трехклавишный KAREA RIZZ STAR дымчатый MAKEL</t>
  </si>
  <si>
    <t>Рамка двухпостовая горизонтальная  KAREA RIZZ STAR дымчатый MAKEL</t>
  </si>
  <si>
    <t>Рамка трехпостовая горизонтальная KAREA RIZZ STAR дымчатый MAKEL</t>
  </si>
  <si>
    <t>Рамка четырехпостовая горизонтальная  KAREA RIZZ STAR дымчатый MAKEL</t>
  </si>
  <si>
    <t>Выключатель одноклавишный KAREA RIZZ STAR черный MAKEL</t>
  </si>
  <si>
    <t>Выключатель двухклавишный KAREA RIZZ STAR черный MAKEL</t>
  </si>
  <si>
    <t>Выключатель одноклавишный проходной KAREA RIZZ STAR черный MAKEL</t>
  </si>
  <si>
    <t>Розетка телевизионная проходная KAREA RIZZ STAR черный MAKEL</t>
  </si>
  <si>
    <t>Светорегулятор KAREA RIZZ STAR черный MAKEL</t>
  </si>
  <si>
    <t>Розетка двухпостовая горизонтальная  без заземления KAREA RIZZ STAR черный MAKEL</t>
  </si>
  <si>
    <t>Выключатель одноклавишный с подсветкой KAREA RIZZ STAR черный MAKEL</t>
  </si>
  <si>
    <t>Розетка без заземления  KAREA RIZZ STAR черный MAKEL</t>
  </si>
  <si>
    <t>Выключатель двухклавишный с подсветкой KAREA RIZZ STAR черный MAKEL</t>
  </si>
  <si>
    <t>Розетка с заземлением 16А   KAREA RIZZ STAR черный MAKEL</t>
  </si>
  <si>
    <t>Розетка с заземлением 16А и крышкой  KAREA RIZZ STAR черный MAKEL</t>
  </si>
  <si>
    <t>Розетка компьютерная CAT5+гнездо KAREA RIZZ STAR черный MAKEL</t>
  </si>
  <si>
    <t>Розетка двухпостовая горизонтальная с заземлением 16А KAREA RIZZ STAR черный MAKEL</t>
  </si>
  <si>
    <t>Выключатель трехклавишный KAREA RIZZ STAR черный MAKEL</t>
  </si>
  <si>
    <t>Рамка двухпостовая горизонтальная  KAREA RIZZ STAR черный MAKEL</t>
  </si>
  <si>
    <t>Рамка трехпостовая горизонтальная KAREA RIZZ STAR черный MAKEL</t>
  </si>
  <si>
    <t>Рамка четырехпостовая горизонтальная  KAREA RIZZ STAR черный MAKEL</t>
  </si>
  <si>
    <t>Выключатель одноклавишный KAREA RIZZ STAR серебро MAKEL</t>
  </si>
  <si>
    <t>Выключатель двухклавишный KAREA RIZZ STAR серебро MAKEL</t>
  </si>
  <si>
    <t>Выключатель одноклавишный проходной KAREA RIZZ STAR серебро MAKEL</t>
  </si>
  <si>
    <t>Розетка телевизионная проходная KAREA RIZZ STAR серебро MAKEL</t>
  </si>
  <si>
    <t>Светорегулятор KAREA RIZZ STAR серебро MAKEL</t>
  </si>
  <si>
    <t>Розетка двухпостовая горизонтальная  без заземления KAREA RIZZ STAR серебро MAKEL</t>
  </si>
  <si>
    <t>Выключатель одноклавишный с подсветкой KAREA RIZZ STAR серебро MAKEL</t>
  </si>
  <si>
    <t>Розетка без заземления  KAREA RIZZ STAR серебро MAKEL</t>
  </si>
  <si>
    <t>Выключатель двухклавишный с подсветкой KAREA RIZZ STAR серебро MAKEL</t>
  </si>
  <si>
    <t>Розетка с заземлением 16А   KAREA RIZZ STAR серебро MAKEL</t>
  </si>
  <si>
    <t>Розетка с заземлением 16А и крышкой  KAREA RIZZ STAR серебро MAKEL</t>
  </si>
  <si>
    <t>Розетка компьютерная CAT5+гнездо KAREA RIZZ STAR серебро MAKEL</t>
  </si>
  <si>
    <t>Розетка двухпостовая горизонтальная с заземлением 16А KAREA RIZZ STAR серебро MAKEL</t>
  </si>
  <si>
    <t>Выключатель трехклавишный KAREA RIZZ STAR серебро MAKEL</t>
  </si>
  <si>
    <t>Рамка двухпостовая горизонтальная  KAREA RIZZ STAR серебро MAKEL</t>
  </si>
  <si>
    <t>Рамка трехпостовая горизонтальная KAREA RIZZ STAR серебро MAKEL</t>
  </si>
  <si>
    <t>Рамка четырехпостовая горизонтальная  KAREA RIZZ STAR серебро MAKEL</t>
  </si>
  <si>
    <t xml:space="preserve">Выключатель одноклавишный KAREA LINE STAR дымчатый MAKEL </t>
  </si>
  <si>
    <t xml:space="preserve">Выключатель двухклавишный KAREA LINE STAR дымчатый MAKEL </t>
  </si>
  <si>
    <t xml:space="preserve">Выключатель одноклавишный проходной KAREA LINE STAR дымчатый MAKEL </t>
  </si>
  <si>
    <t xml:space="preserve">Розетка телевизионная проходная KAREA LINE STAR дымчатый MAKEL </t>
  </si>
  <si>
    <t>Светорегулятор KAREA LINE STAR дымчатый MAKEL</t>
  </si>
  <si>
    <t xml:space="preserve">Розетка двухпостовая горизонтальная  без заземления 16А  KAREA LINE STAR дымчатый MAKEL </t>
  </si>
  <si>
    <t xml:space="preserve">Выключатель одноклавишный с подсветкой KAREA LINE STAR дымчатый MAKEL </t>
  </si>
  <si>
    <t>Розетка без заземления 16А  KAREA LINE STAR дымчатый MAKEL</t>
  </si>
  <si>
    <t xml:space="preserve">Выключатель двухклавишный с подсветкой KAREA LINE STAR дымчатый MAKEL </t>
  </si>
  <si>
    <t xml:space="preserve">Розетка с заземлением и крышкой 16А KAREA LINE STAR дымчатый MAKEL </t>
  </si>
  <si>
    <t xml:space="preserve">Розетка компьютерная CAT5 + гнездо KAREA LINE STAR дымчатый MAKEL </t>
  </si>
  <si>
    <t xml:space="preserve">Розетка двухпостовая горизонтальная с заземление 16А KAREA LINE STAR дымчатый MAKEL </t>
  </si>
  <si>
    <t>Выключатель трехклавишный KAREA LINE STAR дымчатый MAKEL</t>
  </si>
  <si>
    <t xml:space="preserve">Выключатель двухклавишный KAREA LINE STAR черный MAKEL </t>
  </si>
  <si>
    <t xml:space="preserve">Выключатель одноклавишный проходной KAREA LINE STAR черный MAKEL </t>
  </si>
  <si>
    <t xml:space="preserve">Розетка телевизионная проходная KAREA LINE STAR черный MAKEL </t>
  </si>
  <si>
    <t xml:space="preserve">Светорегулятор KAREA LINE STAR черный MAKEL </t>
  </si>
  <si>
    <t>Розетка с заземлением 16А KAREA LINE STAR дымчатый MAKEL</t>
  </si>
  <si>
    <t>Рамка двухпостовая горизонтальная KAREA LINE STAR дымчатый MAKEL</t>
  </si>
  <si>
    <t>Рамка трехпостовая горизонтальная KAREA LINE STAR дымчатый MAKEL</t>
  </si>
  <si>
    <t>Рамка четырехпостовая горизонтальная KAREA LINE STAR дымчатый MAKEL</t>
  </si>
  <si>
    <t>Выключатель одноклавишный KAREA LINE STAR черный MAKEL</t>
  </si>
  <si>
    <t>Розетка двухпостовая горизонтальная без заземления 16А KAREA LINE STAR черный MAKEL</t>
  </si>
  <si>
    <t>Выключатель одноклавишный с подсветкой KAREA LINE STAR черный MAKEL</t>
  </si>
  <si>
    <t>Розетка без заземления 16А  KAREA LINE STAR черный MAKEL</t>
  </si>
  <si>
    <t>Выключатель двухклавишный с подсветкой KAREA LINE STAR черный MAKEL</t>
  </si>
  <si>
    <t>Розетка с заземлением 16А   KAREA LINE STAR черный MAKEL</t>
  </si>
  <si>
    <t>Розетка с заземлением и крышкой  KAREA LINE STAR черный MAKEL</t>
  </si>
  <si>
    <t>Розетка компьютерная CAT5 + гнездо KAREA LINE STAR черный MAKEL</t>
  </si>
  <si>
    <t>Розетка двухпостовая горизонтальная с заземлением 16А KAREA LINE STAR черный MAKEL</t>
  </si>
  <si>
    <t>Выключатель трехклавишный KAREA LINE STAR черный MAKEL</t>
  </si>
  <si>
    <t>Рамка двухпостовая горизонтальная  KAREA LINE STAR черный MAKEL</t>
  </si>
  <si>
    <t>Рамка трехпостовая горизонтальная KAREA LINE STAR черный MAKEL</t>
  </si>
  <si>
    <t>Рамка четырехпостовая горизонтальная KAREA LINE STAR черный MAKEL</t>
  </si>
  <si>
    <t>0,11x0,059x0,031</t>
  </si>
  <si>
    <t>0,080x0,080x0,043</t>
  </si>
  <si>
    <t>0,0153x0,080x0,013</t>
  </si>
  <si>
    <t>0,0223x0,080x0,013</t>
  </si>
  <si>
    <t>0,0295x0,080x0,013</t>
  </si>
  <si>
    <t>0,0365x0,080x0,013</t>
  </si>
  <si>
    <t>0,064x0,064x0,042</t>
  </si>
  <si>
    <t>0,064x0,0124x0,042</t>
  </si>
  <si>
    <t>0,073x0,077x0,058</t>
  </si>
  <si>
    <t>0,015x0,077x,0,059</t>
  </si>
  <si>
    <t>0,087x0,087x0,01</t>
  </si>
  <si>
    <t>0,085x0,085x0,045</t>
  </si>
  <si>
    <t>0,085x0,013x0,045</t>
  </si>
  <si>
    <t>0,016x0,085x0,001</t>
  </si>
  <si>
    <t>0,023x0,085x0,001</t>
  </si>
  <si>
    <t>0,03x0,085x0,001</t>
  </si>
  <si>
    <t>0,16x0,059x0,031</t>
  </si>
  <si>
    <t>0,20x0,059x0,031</t>
  </si>
  <si>
    <t>0,31x0,059x0,031</t>
  </si>
  <si>
    <t>0,43x0,018x0,06</t>
  </si>
  <si>
    <t>0,09x0,04x0,04</t>
  </si>
  <si>
    <t>0,1x0,08x0,05</t>
  </si>
  <si>
    <t>0,06x0,03x0,02</t>
  </si>
  <si>
    <t>0,05x0,03x0,03</t>
  </si>
  <si>
    <t>0,14x0,08x0,05</t>
  </si>
  <si>
    <t>0,17x0,04x0,04</t>
  </si>
  <si>
    <t>0,06x0,05x0,04</t>
  </si>
  <si>
    <t>0,08x0,05x0,04</t>
  </si>
  <si>
    <t>0,1x0,06x0,06</t>
  </si>
  <si>
    <t>0.1x0,14x0,09</t>
  </si>
  <si>
    <t>0,13x0,14x0,09</t>
  </si>
  <si>
    <t>0,17x0,14x0,95</t>
  </si>
  <si>
    <t>0,28x0,22x0,097</t>
  </si>
  <si>
    <t>0,21x0,17x0,095</t>
  </si>
  <si>
    <t>0,35x0,22x0,097</t>
  </si>
  <si>
    <t>0,3x0,34x0,11</t>
  </si>
  <si>
    <t>0,32x0,44x0,11</t>
  </si>
  <si>
    <t>0,06x0,06x0,04</t>
  </si>
  <si>
    <t>0,06x0,06x0,03</t>
  </si>
  <si>
    <t>0,03x0,085x0,01</t>
  </si>
  <si>
    <t>0,023x0,085x0,01</t>
  </si>
  <si>
    <t>0,016x0,085x0,01</t>
  </si>
  <si>
    <t>Выключатель проходной №10080 белый с красной кнопокой</t>
  </si>
  <si>
    <t>Вилка с кольцом с заземлением белая</t>
  </si>
  <si>
    <t>Вилка с кольцом с заземлением черная</t>
  </si>
  <si>
    <t>0,09x0,06x0,04</t>
  </si>
  <si>
    <t>"Makel DEFNE" №42001001 выключатель oднoклавишный</t>
  </si>
  <si>
    <t>"Makel DEFNE" №42001003 выключатель двуxклавишный</t>
  </si>
  <si>
    <t>"Makel DEFNE" №42001005 выключатель прох. oднoклавишный</t>
  </si>
  <si>
    <t>"Makel DEFNE" №42001007 розетка телевизионная</t>
  </si>
  <si>
    <t>"Makel DEFNE" №42001011 выключатель peостат  600 Вт.</t>
  </si>
  <si>
    <t>"Makel DEFNE" №42001014 розетка телефoнная</t>
  </si>
  <si>
    <t>"Makel DEFNE" №42001017 розетка 2 гнезда без заземления</t>
  </si>
  <si>
    <t>"Makel DEFNE" №42001021 выключатель oдноклавишный с подсветкой</t>
  </si>
  <si>
    <t>"Makel DEFNE" №42001022 розетка без заземления</t>
  </si>
  <si>
    <t>"Makel DEFNE" №42001023 выключатель двухклавишный с подсветкой</t>
  </si>
  <si>
    <t>"Makel DEFNE" №42001028 розетка с заземлением</t>
  </si>
  <si>
    <t>"Makel DEFNE" №42001029 розетка с крышкой</t>
  </si>
  <si>
    <t>"Makel DEFNE" №42001035 розетка компьютерная</t>
  </si>
  <si>
    <t>"Makel DEFNE" №42001082 розетка 2 гнезда с заземлением</t>
  </si>
  <si>
    <t>"Makel DEFNE" №42001091 выключатель трёхклавишный</t>
  </si>
  <si>
    <t>"Makel DEFNE" №42001702 рамка 2-ая горизонтальная</t>
  </si>
  <si>
    <t>"Makel DEFNE" №42001703 рамка 3-ая горизонтальная</t>
  </si>
  <si>
    <t>"Makel DEFNE" №42001704 рамка 4-ая горизонтальная</t>
  </si>
  <si>
    <t>"Makel DEFNE" №42001705 рамка 5-ая горизонтальная</t>
  </si>
  <si>
    <t>"Makel DEFNE" №42001708 рамка 3-ая вертикальная</t>
  </si>
  <si>
    <t>"Makel DEFNE" №42001707 рамка 2-ая вертикальная</t>
  </si>
  <si>
    <t>"Makel DEFNE" №42001002 розетка без заземления (керамика)</t>
  </si>
  <si>
    <t>"Makel DEFNE" №42001008 розетка с заземлением</t>
  </si>
  <si>
    <t>"Makel DEFNE" №42001036 розетка двойная компьютерная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</si>
</sst>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&quot;р.&quot;_-;\-* #,##0.00&quot;р.&quot;_-;_-* &quot;-&quot;??&quot;р.&quot;_-;_-@_-"/>
    <numFmt numFmtId="165" formatCode="000000"/>
    <numFmt numFmtId="166" formatCode="0.00;[Red]0.00"/>
  </numFmts>
  <fonts count="15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u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b/>
      <sz val="11"/>
      <name val="Arial"/>
      <family val="2"/>
      <charset val="204"/>
    </font>
    <font>
      <vertAlign val="superscript"/>
      <sz val="12"/>
      <name val="Arial"/>
      <family val="2"/>
      <charset val="204"/>
    </font>
    <font>
      <i/>
      <sz val="11"/>
      <name val="Arial"/>
      <family val="2"/>
      <charset val="204"/>
    </font>
    <font>
      <b/>
      <sz val="16"/>
      <name val="Times New Roman"/>
      <family val="1"/>
      <charset val="204"/>
    </font>
    <font>
      <i/>
      <sz val="10"/>
      <name val="Arial"/>
      <family val="2"/>
      <charset val="204"/>
    </font>
    <font>
      <b/>
      <sz val="16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4" fillId="0" borderId="0">
      <alignment horizontal="left"/>
    </xf>
    <xf numFmtId="0" fontId="1" fillId="0" borderId="0"/>
  </cellStyleXfs>
  <cellXfs count="127">
    <xf numFmtId="0" fontId="0" fillId="0" borderId="0" xfId="0"/>
    <xf numFmtId="0" fontId="3" fillId="0" borderId="0" xfId="0" applyFont="1" applyBorder="1"/>
    <xf numFmtId="0" fontId="2" fillId="0" borderId="0" xfId="3" applyFont="1"/>
    <xf numFmtId="0" fontId="3" fillId="0" borderId="0" xfId="0" applyFont="1"/>
    <xf numFmtId="0" fontId="2" fillId="0" borderId="0" xfId="0" applyFont="1" applyBorder="1" applyAlignment="1"/>
    <xf numFmtId="0" fontId="3" fillId="0" borderId="0" xfId="0" applyNumberFormat="1" applyFont="1" applyFill="1" applyAlignment="1"/>
    <xf numFmtId="0" fontId="3" fillId="0" borderId="0" xfId="0" applyNumberFormat="1" applyFont="1" applyAlignment="1"/>
    <xf numFmtId="0" fontId="3" fillId="0" borderId="0" xfId="0" applyFont="1" applyBorder="1" applyAlignment="1">
      <alignment horizontal="left" vertical="center" wrapText="1"/>
    </xf>
    <xf numFmtId="0" fontId="4" fillId="0" borderId="0" xfId="0" applyFont="1"/>
    <xf numFmtId="0" fontId="8" fillId="0" borderId="1" xfId="0" applyFont="1" applyBorder="1"/>
    <xf numFmtId="0" fontId="3" fillId="0" borderId="2" xfId="0" applyNumberFormat="1" applyFont="1" applyBorder="1" applyAlignment="1"/>
    <xf numFmtId="0" fontId="3" fillId="0" borderId="1" xfId="0" applyFont="1" applyBorder="1"/>
    <xf numFmtId="0" fontId="3" fillId="0" borderId="2" xfId="0" applyFont="1" applyBorder="1"/>
    <xf numFmtId="0" fontId="12" fillId="0" borderId="0" xfId="3" applyFont="1" applyAlignment="1">
      <alignment horizontal="right"/>
    </xf>
    <xf numFmtId="0" fontId="3" fillId="0" borderId="3" xfId="0" applyFont="1" applyBorder="1" applyAlignment="1">
      <alignment horizontal="right"/>
    </xf>
    <xf numFmtId="0" fontId="13" fillId="2" borderId="3" xfId="0" applyFont="1" applyFill="1" applyBorder="1"/>
    <xf numFmtId="0" fontId="2" fillId="0" borderId="1" xfId="0" applyNumberFormat="1" applyFont="1" applyBorder="1" applyAlignment="1"/>
    <xf numFmtId="0" fontId="12" fillId="0" borderId="0" xfId="0" applyFont="1" applyBorder="1"/>
    <xf numFmtId="0" fontId="11" fillId="0" borderId="0" xfId="3" applyFont="1" applyAlignment="1"/>
    <xf numFmtId="0" fontId="3" fillId="0" borderId="1" xfId="0" applyFont="1" applyFill="1" applyBorder="1"/>
    <xf numFmtId="0" fontId="3" fillId="0" borderId="2" xfId="0" applyFont="1" applyFill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Fill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6" fontId="3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0" fontId="3" fillId="0" borderId="4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0" xfId="0" applyNumberFormat="1" applyFont="1" applyFill="1" applyAlignment="1">
      <alignment horizontal="left"/>
    </xf>
    <xf numFmtId="0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166" fontId="3" fillId="0" borderId="0" xfId="0" applyNumberFormat="1" applyFont="1"/>
    <xf numFmtId="166" fontId="2" fillId="0" borderId="0" xfId="0" applyNumberFormat="1" applyFont="1"/>
    <xf numFmtId="166" fontId="10" fillId="0" borderId="0" xfId="0" applyNumberFormat="1" applyFont="1"/>
    <xf numFmtId="166" fontId="3" fillId="0" borderId="0" xfId="0" applyNumberFormat="1" applyFont="1" applyFill="1" applyBorder="1" applyAlignment="1">
      <alignment horizontal="left" vertical="center"/>
    </xf>
    <xf numFmtId="166" fontId="2" fillId="0" borderId="0" xfId="0" applyNumberFormat="1" applyFont="1" applyFill="1" applyBorder="1" applyAlignment="1">
      <alignment horizontal="left" vertical="center"/>
    </xf>
    <xf numFmtId="166" fontId="3" fillId="0" borderId="0" xfId="0" applyNumberFormat="1" applyFont="1" applyFill="1" applyAlignment="1"/>
    <xf numFmtId="166" fontId="3" fillId="0" borderId="2" xfId="0" applyNumberFormat="1" applyFont="1" applyBorder="1" applyAlignment="1"/>
    <xf numFmtId="166" fontId="2" fillId="0" borderId="4" xfId="0" applyNumberFormat="1" applyFont="1" applyBorder="1" applyAlignment="1"/>
    <xf numFmtId="166" fontId="2" fillId="0" borderId="0" xfId="0" applyNumberFormat="1" applyFont="1" applyAlignment="1"/>
    <xf numFmtId="166" fontId="3" fillId="0" borderId="0" xfId="0" applyNumberFormat="1" applyFont="1" applyAlignment="1"/>
    <xf numFmtId="166" fontId="3" fillId="0" borderId="2" xfId="0" applyNumberFormat="1" applyFont="1" applyBorder="1"/>
    <xf numFmtId="166" fontId="2" fillId="0" borderId="4" xfId="0" applyNumberFormat="1" applyFont="1" applyBorder="1"/>
    <xf numFmtId="166" fontId="3" fillId="0" borderId="2" xfId="0" applyNumberFormat="1" applyFont="1" applyFill="1" applyBorder="1"/>
    <xf numFmtId="166" fontId="2" fillId="0" borderId="4" xfId="0" applyNumberFormat="1" applyFont="1" applyFill="1" applyBorder="1"/>
    <xf numFmtId="0" fontId="3" fillId="3" borderId="3" xfId="0" applyNumberFormat="1" applyFont="1" applyFill="1" applyBorder="1" applyAlignment="1">
      <alignment horizontal="left" vertical="center"/>
    </xf>
    <xf numFmtId="0" fontId="3" fillId="3" borderId="3" xfId="0" applyNumberFormat="1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Alignment="1"/>
    <xf numFmtId="0" fontId="3" fillId="3" borderId="0" xfId="0" applyFont="1" applyFill="1"/>
    <xf numFmtId="166" fontId="3" fillId="3" borderId="3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/>
    <xf numFmtId="0" fontId="3" fillId="3" borderId="0" xfId="0" applyFont="1" applyFill="1" applyAlignment="1">
      <alignment wrapText="1"/>
    </xf>
    <xf numFmtId="0" fontId="3" fillId="3" borderId="3" xfId="0" applyNumberFormat="1" applyFont="1" applyFill="1" applyBorder="1" applyAlignment="1">
      <alignment vertical="center"/>
    </xf>
    <xf numFmtId="166" fontId="3" fillId="3" borderId="3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vertical="center"/>
    </xf>
    <xf numFmtId="0" fontId="3" fillId="3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166" fontId="3" fillId="3" borderId="3" xfId="0" applyNumberFormat="1" applyFont="1" applyFill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9" fontId="2" fillId="3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6" fontId="2" fillId="0" borderId="3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0" fontId="3" fillId="3" borderId="5" xfId="0" applyNumberFormat="1" applyFont="1" applyFill="1" applyBorder="1" applyAlignment="1">
      <alignment vertical="center"/>
    </xf>
    <xf numFmtId="0" fontId="12" fillId="0" borderId="3" xfId="0" applyFont="1" applyBorder="1" applyAlignment="1">
      <alignment horizontal="center"/>
    </xf>
    <xf numFmtId="0" fontId="3" fillId="3" borderId="6" xfId="0" applyNumberFormat="1" applyFont="1" applyFill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3" fillId="3" borderId="7" xfId="0" applyNumberFormat="1" applyFont="1" applyFill="1" applyBorder="1" applyAlignment="1">
      <alignment vertical="center"/>
    </xf>
    <xf numFmtId="0" fontId="3" fillId="3" borderId="5" xfId="0" applyNumberFormat="1" applyFont="1" applyFill="1" applyBorder="1" applyAlignment="1">
      <alignment horizontal="left" vertical="center"/>
    </xf>
    <xf numFmtId="0" fontId="3" fillId="3" borderId="6" xfId="0" applyNumberFormat="1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 wrapText="1"/>
    </xf>
    <xf numFmtId="0" fontId="3" fillId="3" borderId="7" xfId="0" applyNumberFormat="1" applyFont="1" applyFill="1" applyBorder="1" applyAlignment="1">
      <alignment horizontal="left" vertical="center"/>
    </xf>
    <xf numFmtId="0" fontId="3" fillId="3" borderId="8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3" fillId="3" borderId="6" xfId="0" applyNumberFormat="1" applyFont="1" applyFill="1" applyBorder="1" applyAlignment="1">
      <alignment horizontal="center" vertical="center"/>
    </xf>
    <xf numFmtId="165" fontId="5" fillId="0" borderId="3" xfId="0" applyNumberFormat="1" applyFont="1" applyFill="1" applyBorder="1" applyAlignment="1">
      <alignment vertical="center" wrapText="1"/>
    </xf>
    <xf numFmtId="0" fontId="3" fillId="3" borderId="7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center"/>
    </xf>
    <xf numFmtId="0" fontId="3" fillId="3" borderId="5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left"/>
    </xf>
    <xf numFmtId="166" fontId="2" fillId="3" borderId="5" xfId="0" applyNumberFormat="1" applyFont="1" applyFill="1" applyBorder="1" applyAlignment="1">
      <alignment horizontal="center" vertical="center"/>
    </xf>
    <xf numFmtId="166" fontId="12" fillId="0" borderId="3" xfId="0" applyNumberFormat="1" applyFont="1" applyFill="1" applyBorder="1" applyAlignment="1">
      <alignment horizontal="center"/>
    </xf>
    <xf numFmtId="166" fontId="2" fillId="3" borderId="6" xfId="0" applyNumberFormat="1" applyFont="1" applyFill="1" applyBorder="1" applyAlignment="1">
      <alignment horizontal="center" vertical="center"/>
    </xf>
    <xf numFmtId="166" fontId="5" fillId="0" borderId="3" xfId="0" applyNumberFormat="1" applyFont="1" applyFill="1" applyBorder="1" applyAlignment="1">
      <alignment vertical="center" wrapText="1"/>
    </xf>
    <xf numFmtId="166" fontId="2" fillId="3" borderId="7" xfId="0" applyNumberFormat="1" applyFont="1" applyFill="1" applyBorder="1" applyAlignment="1">
      <alignment horizontal="center" vertical="center"/>
    </xf>
    <xf numFmtId="9" fontId="2" fillId="3" borderId="5" xfId="0" applyNumberFormat="1" applyFont="1" applyFill="1" applyBorder="1" applyAlignment="1">
      <alignment horizontal="center" vertical="center"/>
    </xf>
    <xf numFmtId="9" fontId="2" fillId="3" borderId="6" xfId="0" applyNumberFormat="1" applyFont="1" applyFill="1" applyBorder="1" applyAlignment="1">
      <alignment horizontal="center" vertical="center"/>
    </xf>
    <xf numFmtId="9" fontId="2" fillId="3" borderId="7" xfId="0" applyNumberFormat="1" applyFont="1" applyFill="1" applyBorder="1" applyAlignment="1">
      <alignment horizontal="center" vertical="center"/>
    </xf>
    <xf numFmtId="166" fontId="3" fillId="3" borderId="9" xfId="0" applyNumberFormat="1" applyFont="1" applyFill="1" applyBorder="1" applyAlignment="1">
      <alignment vertical="center"/>
    </xf>
    <xf numFmtId="166" fontId="3" fillId="3" borderId="8" xfId="0" applyNumberFormat="1" applyFont="1" applyFill="1" applyBorder="1" applyAlignment="1">
      <alignment vertical="center"/>
    </xf>
    <xf numFmtId="166" fontId="5" fillId="0" borderId="3" xfId="0" applyNumberFormat="1" applyFont="1" applyFill="1" applyBorder="1" applyAlignment="1">
      <alignment horizontal="center" vertical="center" wrapText="1"/>
    </xf>
    <xf numFmtId="166" fontId="3" fillId="3" borderId="6" xfId="0" applyNumberFormat="1" applyFont="1" applyFill="1" applyBorder="1" applyAlignment="1">
      <alignment vertical="center"/>
    </xf>
    <xf numFmtId="166" fontId="7" fillId="0" borderId="3" xfId="0" applyNumberFormat="1" applyFont="1" applyFill="1" applyBorder="1" applyAlignment="1">
      <alignment horizontal="center" vertical="center" wrapText="1"/>
    </xf>
    <xf numFmtId="166" fontId="3" fillId="3" borderId="10" xfId="0" applyNumberFormat="1" applyFont="1" applyFill="1" applyBorder="1" applyAlignment="1">
      <alignment vertical="center"/>
    </xf>
    <xf numFmtId="166" fontId="12" fillId="0" borderId="3" xfId="0" applyNumberFormat="1" applyFont="1" applyFill="1" applyBorder="1" applyAlignment="1"/>
    <xf numFmtId="166" fontId="6" fillId="0" borderId="3" xfId="1" applyNumberFormat="1" applyFont="1" applyFill="1" applyBorder="1" applyAlignment="1">
      <alignment vertical="center" wrapText="1"/>
    </xf>
    <xf numFmtId="166" fontId="3" fillId="3" borderId="1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3" fillId="0" borderId="4" xfId="0" applyFont="1" applyFill="1" applyBorder="1" applyAlignment="1">
      <alignment horizontal="left" wrapText="1"/>
    </xf>
    <xf numFmtId="0" fontId="3" fillId="0" borderId="3" xfId="0" applyFont="1" applyBorder="1" applyAlignment="1">
      <alignment horizontal="center"/>
    </xf>
    <xf numFmtId="0" fontId="11" fillId="0" borderId="0" xfId="3" applyFont="1" applyAlignment="1">
      <alignment horizontal="center"/>
    </xf>
  </cellXfs>
  <cellStyles count="4">
    <cellStyle name="Денежный" xfId="1" builtinId="4"/>
    <cellStyle name="Обычный" xfId="0" builtinId="0"/>
    <cellStyle name="Обычный 2" xfId="2"/>
    <cellStyle name="Обычный_ПРОТОКОЛ согласования цен_2003_бум.версия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jpeg"/><Relationship Id="rId303" Type="http://schemas.openxmlformats.org/officeDocument/2006/relationships/image" Target="../media/image303.jpe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205" Type="http://schemas.openxmlformats.org/officeDocument/2006/relationships/image" Target="../media/image205.jpeg"/><Relationship Id="rId226" Type="http://schemas.openxmlformats.org/officeDocument/2006/relationships/image" Target="../media/image226.jpeg"/><Relationship Id="rId247" Type="http://schemas.openxmlformats.org/officeDocument/2006/relationships/image" Target="../media/image247.jpeg"/><Relationship Id="rId107" Type="http://schemas.openxmlformats.org/officeDocument/2006/relationships/image" Target="../media/image107.png"/><Relationship Id="rId268" Type="http://schemas.openxmlformats.org/officeDocument/2006/relationships/image" Target="../media/image268.jpeg"/><Relationship Id="rId289" Type="http://schemas.openxmlformats.org/officeDocument/2006/relationships/image" Target="../media/image289.jpe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jpeg"/><Relationship Id="rId314" Type="http://schemas.openxmlformats.org/officeDocument/2006/relationships/image" Target="../media/image314.jpeg"/><Relationship Id="rId5" Type="http://schemas.openxmlformats.org/officeDocument/2006/relationships/image" Target="../media/image5.jpeg"/><Relationship Id="rId95" Type="http://schemas.openxmlformats.org/officeDocument/2006/relationships/image" Target="../media/image95.pn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16" Type="http://schemas.openxmlformats.org/officeDocument/2006/relationships/image" Target="../media/image216.jpeg"/><Relationship Id="rId237" Type="http://schemas.openxmlformats.org/officeDocument/2006/relationships/image" Target="../media/image237.jpeg"/><Relationship Id="rId258" Type="http://schemas.openxmlformats.org/officeDocument/2006/relationships/image" Target="../media/image258.jpeg"/><Relationship Id="rId279" Type="http://schemas.openxmlformats.org/officeDocument/2006/relationships/image" Target="../media/image279.jpeg"/><Relationship Id="rId22" Type="http://schemas.openxmlformats.org/officeDocument/2006/relationships/image" Target="../media/image22.jpe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jpeg"/><Relationship Id="rId85" Type="http://schemas.openxmlformats.org/officeDocument/2006/relationships/image" Target="../media/image85.pn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206" Type="http://schemas.openxmlformats.org/officeDocument/2006/relationships/image" Target="../media/image206.jpeg"/><Relationship Id="rId227" Type="http://schemas.openxmlformats.org/officeDocument/2006/relationships/image" Target="../media/image227.jpeg"/><Relationship Id="rId248" Type="http://schemas.openxmlformats.org/officeDocument/2006/relationships/image" Target="../media/image248.jpeg"/><Relationship Id="rId269" Type="http://schemas.openxmlformats.org/officeDocument/2006/relationships/image" Target="../media/image269.jpeg"/><Relationship Id="rId12" Type="http://schemas.openxmlformats.org/officeDocument/2006/relationships/image" Target="../media/image12.jpe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280" Type="http://schemas.openxmlformats.org/officeDocument/2006/relationships/image" Target="../media/image280.jpeg"/><Relationship Id="rId315" Type="http://schemas.openxmlformats.org/officeDocument/2006/relationships/image" Target="../media/image315.jpe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217" Type="http://schemas.openxmlformats.org/officeDocument/2006/relationships/image" Target="../media/image217.jpeg"/><Relationship Id="rId6" Type="http://schemas.openxmlformats.org/officeDocument/2006/relationships/image" Target="../media/image6.jpeg"/><Relationship Id="rId238" Type="http://schemas.openxmlformats.org/officeDocument/2006/relationships/image" Target="../media/image238.jpeg"/><Relationship Id="rId259" Type="http://schemas.openxmlformats.org/officeDocument/2006/relationships/image" Target="../media/image259.jpeg"/><Relationship Id="rId23" Type="http://schemas.openxmlformats.org/officeDocument/2006/relationships/image" Target="../media/image23.jpeg"/><Relationship Id="rId119" Type="http://schemas.openxmlformats.org/officeDocument/2006/relationships/image" Target="../media/image119.png"/><Relationship Id="rId270" Type="http://schemas.openxmlformats.org/officeDocument/2006/relationships/image" Target="../media/image270.jpeg"/><Relationship Id="rId291" Type="http://schemas.openxmlformats.org/officeDocument/2006/relationships/image" Target="../media/image291.jpeg"/><Relationship Id="rId305" Type="http://schemas.openxmlformats.org/officeDocument/2006/relationships/image" Target="../media/image305.jpe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207" Type="http://schemas.openxmlformats.org/officeDocument/2006/relationships/image" Target="../media/image207.jpeg"/><Relationship Id="rId228" Type="http://schemas.openxmlformats.org/officeDocument/2006/relationships/image" Target="../media/image228.jpeg"/><Relationship Id="rId249" Type="http://schemas.openxmlformats.org/officeDocument/2006/relationships/image" Target="../media/image249.jpeg"/><Relationship Id="rId13" Type="http://schemas.openxmlformats.org/officeDocument/2006/relationships/image" Target="../media/image13.jpeg"/><Relationship Id="rId109" Type="http://schemas.openxmlformats.org/officeDocument/2006/relationships/image" Target="../media/image109.png"/><Relationship Id="rId260" Type="http://schemas.openxmlformats.org/officeDocument/2006/relationships/image" Target="../media/image260.jpeg"/><Relationship Id="rId281" Type="http://schemas.openxmlformats.org/officeDocument/2006/relationships/image" Target="../media/image281.jpeg"/><Relationship Id="rId316" Type="http://schemas.openxmlformats.org/officeDocument/2006/relationships/image" Target="../media/image316.jpe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18" Type="http://schemas.openxmlformats.org/officeDocument/2006/relationships/image" Target="../media/image218.jpeg"/><Relationship Id="rId239" Type="http://schemas.openxmlformats.org/officeDocument/2006/relationships/image" Target="../media/image239.jpeg"/><Relationship Id="rId250" Type="http://schemas.openxmlformats.org/officeDocument/2006/relationships/image" Target="../media/image250.jpeg"/><Relationship Id="rId271" Type="http://schemas.openxmlformats.org/officeDocument/2006/relationships/image" Target="../media/image271.jpeg"/><Relationship Id="rId292" Type="http://schemas.openxmlformats.org/officeDocument/2006/relationships/image" Target="../media/image292.jpeg"/><Relationship Id="rId306" Type="http://schemas.openxmlformats.org/officeDocument/2006/relationships/image" Target="../media/image306.jpeg"/><Relationship Id="rId24" Type="http://schemas.openxmlformats.org/officeDocument/2006/relationships/image" Target="../media/image24.jpe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9" Type="http://schemas.openxmlformats.org/officeDocument/2006/relationships/image" Target="../media/image199.jpeg"/><Relationship Id="rId203" Type="http://schemas.openxmlformats.org/officeDocument/2006/relationships/image" Target="../media/image203.jpeg"/><Relationship Id="rId208" Type="http://schemas.openxmlformats.org/officeDocument/2006/relationships/image" Target="../media/image208.jpeg"/><Relationship Id="rId229" Type="http://schemas.openxmlformats.org/officeDocument/2006/relationships/image" Target="../media/image229.jpeg"/><Relationship Id="rId19" Type="http://schemas.openxmlformats.org/officeDocument/2006/relationships/image" Target="../media/image19.jpeg"/><Relationship Id="rId224" Type="http://schemas.openxmlformats.org/officeDocument/2006/relationships/image" Target="../media/image224.jpeg"/><Relationship Id="rId240" Type="http://schemas.openxmlformats.org/officeDocument/2006/relationships/image" Target="../media/image240.jpeg"/><Relationship Id="rId245" Type="http://schemas.openxmlformats.org/officeDocument/2006/relationships/image" Target="../media/image245.jpeg"/><Relationship Id="rId261" Type="http://schemas.openxmlformats.org/officeDocument/2006/relationships/image" Target="../media/image261.jpeg"/><Relationship Id="rId266" Type="http://schemas.openxmlformats.org/officeDocument/2006/relationships/image" Target="../media/image266.jpeg"/><Relationship Id="rId287" Type="http://schemas.openxmlformats.org/officeDocument/2006/relationships/image" Target="../media/image287.jpe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282" Type="http://schemas.openxmlformats.org/officeDocument/2006/relationships/image" Target="../media/image282.jpeg"/><Relationship Id="rId312" Type="http://schemas.openxmlformats.org/officeDocument/2006/relationships/image" Target="../media/image312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219" Type="http://schemas.openxmlformats.org/officeDocument/2006/relationships/image" Target="../media/image219.jpeg"/><Relationship Id="rId3" Type="http://schemas.openxmlformats.org/officeDocument/2006/relationships/image" Target="../media/image3.jpeg"/><Relationship Id="rId214" Type="http://schemas.openxmlformats.org/officeDocument/2006/relationships/image" Target="../media/image214.jpeg"/><Relationship Id="rId230" Type="http://schemas.openxmlformats.org/officeDocument/2006/relationships/image" Target="../media/image230.jpeg"/><Relationship Id="rId235" Type="http://schemas.openxmlformats.org/officeDocument/2006/relationships/image" Target="../media/image235.jpeg"/><Relationship Id="rId251" Type="http://schemas.openxmlformats.org/officeDocument/2006/relationships/image" Target="../media/image251.jpeg"/><Relationship Id="rId256" Type="http://schemas.openxmlformats.org/officeDocument/2006/relationships/image" Target="../media/image256.jpeg"/><Relationship Id="rId277" Type="http://schemas.openxmlformats.org/officeDocument/2006/relationships/image" Target="../media/image277.jpeg"/><Relationship Id="rId298" Type="http://schemas.openxmlformats.org/officeDocument/2006/relationships/image" Target="../media/image298.jpeg"/><Relationship Id="rId25" Type="http://schemas.openxmlformats.org/officeDocument/2006/relationships/image" Target="../media/image25.jpe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jpeg"/><Relationship Id="rId272" Type="http://schemas.openxmlformats.org/officeDocument/2006/relationships/image" Target="../media/image272.jpeg"/><Relationship Id="rId293" Type="http://schemas.openxmlformats.org/officeDocument/2006/relationships/image" Target="../media/image293.jpeg"/><Relationship Id="rId302" Type="http://schemas.openxmlformats.org/officeDocument/2006/relationships/image" Target="../media/image302.jpeg"/><Relationship Id="rId307" Type="http://schemas.openxmlformats.org/officeDocument/2006/relationships/image" Target="../media/image307.jpe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209" Type="http://schemas.openxmlformats.org/officeDocument/2006/relationships/image" Target="../media/image209.jpeg"/><Relationship Id="rId190" Type="http://schemas.openxmlformats.org/officeDocument/2006/relationships/image" Target="../media/image190.jpeg"/><Relationship Id="rId204" Type="http://schemas.openxmlformats.org/officeDocument/2006/relationships/image" Target="../media/image204.jpeg"/><Relationship Id="rId220" Type="http://schemas.openxmlformats.org/officeDocument/2006/relationships/image" Target="../media/image220.jpeg"/><Relationship Id="rId225" Type="http://schemas.openxmlformats.org/officeDocument/2006/relationships/image" Target="../media/image225.jpeg"/><Relationship Id="rId241" Type="http://schemas.openxmlformats.org/officeDocument/2006/relationships/image" Target="../media/image241.jpeg"/><Relationship Id="rId246" Type="http://schemas.openxmlformats.org/officeDocument/2006/relationships/image" Target="../media/image246.jpeg"/><Relationship Id="rId267" Type="http://schemas.openxmlformats.org/officeDocument/2006/relationships/image" Target="../media/image267.jpeg"/><Relationship Id="rId288" Type="http://schemas.openxmlformats.org/officeDocument/2006/relationships/image" Target="../media/image288.png"/><Relationship Id="rId15" Type="http://schemas.openxmlformats.org/officeDocument/2006/relationships/image" Target="../media/image15.jpe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262" Type="http://schemas.openxmlformats.org/officeDocument/2006/relationships/image" Target="../media/image262.jpeg"/><Relationship Id="rId283" Type="http://schemas.openxmlformats.org/officeDocument/2006/relationships/image" Target="../media/image283.jpeg"/><Relationship Id="rId313" Type="http://schemas.openxmlformats.org/officeDocument/2006/relationships/image" Target="../media/image313.jpe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10" Type="http://schemas.openxmlformats.org/officeDocument/2006/relationships/image" Target="../media/image210.jpeg"/><Relationship Id="rId215" Type="http://schemas.openxmlformats.org/officeDocument/2006/relationships/image" Target="../media/image215.jpeg"/><Relationship Id="rId236" Type="http://schemas.openxmlformats.org/officeDocument/2006/relationships/image" Target="../media/image236.jpeg"/><Relationship Id="rId257" Type="http://schemas.openxmlformats.org/officeDocument/2006/relationships/image" Target="../media/image257.jpeg"/><Relationship Id="rId278" Type="http://schemas.openxmlformats.org/officeDocument/2006/relationships/image" Target="../media/image278.jpeg"/><Relationship Id="rId26" Type="http://schemas.openxmlformats.org/officeDocument/2006/relationships/image" Target="../media/image26.jpeg"/><Relationship Id="rId231" Type="http://schemas.openxmlformats.org/officeDocument/2006/relationships/image" Target="../media/image231.jpeg"/><Relationship Id="rId252" Type="http://schemas.openxmlformats.org/officeDocument/2006/relationships/image" Target="../media/image252.jpeg"/><Relationship Id="rId273" Type="http://schemas.openxmlformats.org/officeDocument/2006/relationships/image" Target="../media/image273.jpeg"/><Relationship Id="rId294" Type="http://schemas.openxmlformats.org/officeDocument/2006/relationships/image" Target="../media/image294.jpeg"/><Relationship Id="rId308" Type="http://schemas.openxmlformats.org/officeDocument/2006/relationships/image" Target="../media/image308.jpe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200" Type="http://schemas.openxmlformats.org/officeDocument/2006/relationships/image" Target="../media/image200.jpeg"/><Relationship Id="rId16" Type="http://schemas.openxmlformats.org/officeDocument/2006/relationships/image" Target="../media/image16.png"/><Relationship Id="rId221" Type="http://schemas.openxmlformats.org/officeDocument/2006/relationships/image" Target="../media/image221.jpeg"/><Relationship Id="rId242" Type="http://schemas.openxmlformats.org/officeDocument/2006/relationships/image" Target="../media/image242.jpeg"/><Relationship Id="rId263" Type="http://schemas.openxmlformats.org/officeDocument/2006/relationships/image" Target="../media/image263.jpeg"/><Relationship Id="rId284" Type="http://schemas.openxmlformats.org/officeDocument/2006/relationships/image" Target="../media/image284.jpe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11" Type="http://schemas.openxmlformats.org/officeDocument/2006/relationships/image" Target="../media/image211.jpeg"/><Relationship Id="rId232" Type="http://schemas.openxmlformats.org/officeDocument/2006/relationships/image" Target="../media/image232.jpeg"/><Relationship Id="rId253" Type="http://schemas.openxmlformats.org/officeDocument/2006/relationships/image" Target="../media/image253.jpeg"/><Relationship Id="rId274" Type="http://schemas.openxmlformats.org/officeDocument/2006/relationships/image" Target="../media/image274.jpeg"/><Relationship Id="rId295" Type="http://schemas.openxmlformats.org/officeDocument/2006/relationships/image" Target="../media/image295.jpeg"/><Relationship Id="rId309" Type="http://schemas.openxmlformats.org/officeDocument/2006/relationships/image" Target="../media/image309.jpe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201" Type="http://schemas.openxmlformats.org/officeDocument/2006/relationships/image" Target="../media/image201.jpeg"/><Relationship Id="rId222" Type="http://schemas.openxmlformats.org/officeDocument/2006/relationships/image" Target="../media/image222.jpeg"/><Relationship Id="rId243" Type="http://schemas.openxmlformats.org/officeDocument/2006/relationships/image" Target="../media/image243.jpeg"/><Relationship Id="rId264" Type="http://schemas.openxmlformats.org/officeDocument/2006/relationships/image" Target="../media/image264.jpeg"/><Relationship Id="rId285" Type="http://schemas.openxmlformats.org/officeDocument/2006/relationships/image" Target="../media/image285.jpeg"/><Relationship Id="rId17" Type="http://schemas.openxmlformats.org/officeDocument/2006/relationships/image" Target="../media/image17.jpe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jpe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12" Type="http://schemas.openxmlformats.org/officeDocument/2006/relationships/image" Target="../media/image212.jpeg"/><Relationship Id="rId233" Type="http://schemas.openxmlformats.org/officeDocument/2006/relationships/image" Target="../media/image233.jpeg"/><Relationship Id="rId254" Type="http://schemas.openxmlformats.org/officeDocument/2006/relationships/image" Target="../media/image254.jpeg"/><Relationship Id="rId28" Type="http://schemas.openxmlformats.org/officeDocument/2006/relationships/image" Target="../media/image28.jpe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jpeg"/><Relationship Id="rId296" Type="http://schemas.openxmlformats.org/officeDocument/2006/relationships/image" Target="../media/image296.jpeg"/><Relationship Id="rId300" Type="http://schemas.openxmlformats.org/officeDocument/2006/relationships/image" Target="../media/image300.jpe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202" Type="http://schemas.openxmlformats.org/officeDocument/2006/relationships/image" Target="../media/image202.jpeg"/><Relationship Id="rId223" Type="http://schemas.openxmlformats.org/officeDocument/2006/relationships/image" Target="../media/image223.jpeg"/><Relationship Id="rId244" Type="http://schemas.openxmlformats.org/officeDocument/2006/relationships/image" Target="../media/image244.jpe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jpeg"/><Relationship Id="rId286" Type="http://schemas.openxmlformats.org/officeDocument/2006/relationships/image" Target="../media/image286.jpe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311" Type="http://schemas.openxmlformats.org/officeDocument/2006/relationships/image" Target="../media/image311.jpe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jpeg"/><Relationship Id="rId234" Type="http://schemas.openxmlformats.org/officeDocument/2006/relationships/image" Target="../media/image234.jpeg"/><Relationship Id="rId2" Type="http://schemas.openxmlformats.org/officeDocument/2006/relationships/image" Target="../media/image2.jpeg"/><Relationship Id="rId29" Type="http://schemas.openxmlformats.org/officeDocument/2006/relationships/image" Target="../media/image29.png"/><Relationship Id="rId255" Type="http://schemas.openxmlformats.org/officeDocument/2006/relationships/image" Target="../media/image255.jpeg"/><Relationship Id="rId276" Type="http://schemas.openxmlformats.org/officeDocument/2006/relationships/image" Target="../media/image276.jpeg"/><Relationship Id="rId297" Type="http://schemas.openxmlformats.org/officeDocument/2006/relationships/image" Target="../media/image297.jpe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301" Type="http://schemas.openxmlformats.org/officeDocument/2006/relationships/image" Target="../media/image30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193766</xdr:colOff>
      <xdr:row>308</xdr:row>
      <xdr:rowOff>232150</xdr:rowOff>
    </xdr:from>
    <xdr:to>
      <xdr:col>0</xdr:col>
      <xdr:colOff>1165832</xdr:colOff>
      <xdr:row>308</xdr:row>
      <xdr:rowOff>1158240</xdr:rowOff>
    </xdr:to>
    <xdr:pic>
      <xdr:nvPicPr>
        <xdr:cNvPr id="27918" name="Picture 239" descr="Колодка &quot;Мakel&quot; 2 гнезда MGP-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455091721"/>
          <a:ext cx="97206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353</xdr:row>
      <xdr:rowOff>345708</xdr:rowOff>
    </xdr:from>
    <xdr:to>
      <xdr:col>0</xdr:col>
      <xdr:colOff>1105668</xdr:colOff>
      <xdr:row>354</xdr:row>
      <xdr:rowOff>76199</xdr:rowOff>
    </xdr:to>
    <xdr:pic>
      <xdr:nvPicPr>
        <xdr:cNvPr id="27919" name="Picture 383" descr="Колодка &quot;Мakel&quot; 3 гнезда с заземлением с  выключ. MGP-21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523785279"/>
          <a:ext cx="919522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224246</xdr:colOff>
      <xdr:row>24</xdr:row>
      <xdr:rowOff>224530</xdr:rowOff>
    </xdr:from>
    <xdr:to>
      <xdr:col>0</xdr:col>
      <xdr:colOff>1189744</xdr:colOff>
      <xdr:row>24</xdr:row>
      <xdr:rowOff>1150620</xdr:rowOff>
    </xdr:to>
    <xdr:pic>
      <xdr:nvPicPr>
        <xdr:cNvPr id="27920" name="Рисунок 6" descr="http://shop220.ru/images/data/cat/106063_big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46" y="22268101"/>
          <a:ext cx="965498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24</xdr:row>
      <xdr:rowOff>224530</xdr:rowOff>
    </xdr:from>
    <xdr:to>
      <xdr:col>0</xdr:col>
      <xdr:colOff>1165832</xdr:colOff>
      <xdr:row>24</xdr:row>
      <xdr:rowOff>1150620</xdr:rowOff>
    </xdr:to>
    <xdr:pic>
      <xdr:nvPicPr>
        <xdr:cNvPr id="27921" name="Picture 392" descr="Удлинитель &quot;Мakel&quot; 2 м.- 3 гнезда с заземлением MGP-13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22268101"/>
          <a:ext cx="97206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24</xdr:row>
      <xdr:rowOff>224530</xdr:rowOff>
    </xdr:from>
    <xdr:to>
      <xdr:col>0</xdr:col>
      <xdr:colOff>1138508</xdr:colOff>
      <xdr:row>24</xdr:row>
      <xdr:rowOff>1150620</xdr:rowOff>
    </xdr:to>
    <xdr:pic>
      <xdr:nvPicPr>
        <xdr:cNvPr id="27922" name="Рисунок 126" descr="http://zergud.ru/upload/iblock/c62/udlinitel_makel_na_4_rozetki_2_m_s_zazemleniem_7.jp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22268101"/>
          <a:ext cx="952362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269966</xdr:colOff>
      <xdr:row>24</xdr:row>
      <xdr:rowOff>224530</xdr:rowOff>
    </xdr:from>
    <xdr:to>
      <xdr:col>0</xdr:col>
      <xdr:colOff>1222328</xdr:colOff>
      <xdr:row>24</xdr:row>
      <xdr:rowOff>1150620</xdr:rowOff>
    </xdr:to>
    <xdr:pic>
      <xdr:nvPicPr>
        <xdr:cNvPr id="27923" name="Рисунок 127" descr="http://elvim-electro.ru/image/cache/catalog/elvim/catalog-img/udliniteli/udliniteli-makel/MGP-214-udlinitel-3-gnezda-5-metrov-s-zazemleniem-i-vyklyuchatelem-400x400.jpg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966" y="22268101"/>
          <a:ext cx="952362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24</xdr:row>
      <xdr:rowOff>345708</xdr:rowOff>
    </xdr:from>
    <xdr:to>
      <xdr:col>0</xdr:col>
      <xdr:colOff>1172400</xdr:colOff>
      <xdr:row>25</xdr:row>
      <xdr:rowOff>76199</xdr:rowOff>
    </xdr:to>
    <xdr:pic>
      <xdr:nvPicPr>
        <xdr:cNvPr id="27924" name="Picture 5" descr="&quot;Maкеl&quot; двойник   №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22389279"/>
          <a:ext cx="978634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25</xdr:row>
      <xdr:rowOff>255010</xdr:rowOff>
    </xdr:from>
    <xdr:to>
      <xdr:col>0</xdr:col>
      <xdr:colOff>1176864</xdr:colOff>
      <xdr:row>25</xdr:row>
      <xdr:rowOff>1181100</xdr:rowOff>
    </xdr:to>
    <xdr:pic>
      <xdr:nvPicPr>
        <xdr:cNvPr id="27925" name="Picture 6" descr="&quot;Maкеl&quot; двойник   № с заземлением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23822581"/>
          <a:ext cx="998338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148046</xdr:colOff>
      <xdr:row>21</xdr:row>
      <xdr:rowOff>262630</xdr:rowOff>
    </xdr:from>
    <xdr:to>
      <xdr:col>0</xdr:col>
      <xdr:colOff>1100408</xdr:colOff>
      <xdr:row>21</xdr:row>
      <xdr:rowOff>1188720</xdr:rowOff>
    </xdr:to>
    <xdr:pic>
      <xdr:nvPicPr>
        <xdr:cNvPr id="27926" name="Рисунок 20" descr="http://elvim-electro.ru/image/cache/catalog/elvim/catalog-img/aksesuary/makel/10015-Razvetvitel-na-3-gnezda-s-zazemleniem-Bochonok-500x500.jpg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46" y="17734201"/>
          <a:ext cx="952362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26</xdr:row>
      <xdr:rowOff>262630</xdr:rowOff>
    </xdr:from>
    <xdr:to>
      <xdr:col>0</xdr:col>
      <xdr:colOff>1276436</xdr:colOff>
      <xdr:row>26</xdr:row>
      <xdr:rowOff>1188720</xdr:rowOff>
    </xdr:to>
    <xdr:pic>
      <xdr:nvPicPr>
        <xdr:cNvPr id="27927" name="Picture 18" descr="http://www.maximum.md/content/images/products/18368/1_260.jp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25354201"/>
          <a:ext cx="1090290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27</xdr:row>
      <xdr:rowOff>345708</xdr:rowOff>
    </xdr:from>
    <xdr:to>
      <xdr:col>0</xdr:col>
      <xdr:colOff>1144024</xdr:colOff>
      <xdr:row>28</xdr:row>
      <xdr:rowOff>76199</xdr:rowOff>
    </xdr:to>
    <xdr:pic>
      <xdr:nvPicPr>
        <xdr:cNvPr id="27928" name="Picture 19" descr="&quot;Maкеl&quot; тройник   № с заземлением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26961279"/>
          <a:ext cx="965498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155666</xdr:colOff>
      <xdr:row>11</xdr:row>
      <xdr:rowOff>796470</xdr:rowOff>
    </xdr:from>
    <xdr:to>
      <xdr:col>0</xdr:col>
      <xdr:colOff>1173709</xdr:colOff>
      <xdr:row>14</xdr:row>
      <xdr:rowOff>198120</xdr:rowOff>
    </xdr:to>
    <xdr:pic>
      <xdr:nvPicPr>
        <xdr:cNvPr id="27929" name="Picture 20" descr="Вилка электрическая &quot;Makel&quot; без заземления №10001 белая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66" y="3028041"/>
          <a:ext cx="1018043" cy="397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155666</xdr:colOff>
      <xdr:row>23</xdr:row>
      <xdr:rowOff>232150</xdr:rowOff>
    </xdr:from>
    <xdr:to>
      <xdr:col>0</xdr:col>
      <xdr:colOff>1134300</xdr:colOff>
      <xdr:row>23</xdr:row>
      <xdr:rowOff>1158240</xdr:rowOff>
    </xdr:to>
    <xdr:pic>
      <xdr:nvPicPr>
        <xdr:cNvPr id="27930" name="Рисунок 15" descr="Image result for makel 10027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66" y="20751721"/>
          <a:ext cx="978634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12</xdr:row>
      <xdr:rowOff>536172</xdr:rowOff>
    </xdr:from>
    <xdr:to>
      <xdr:col>0</xdr:col>
      <xdr:colOff>1138508</xdr:colOff>
      <xdr:row>14</xdr:row>
      <xdr:rowOff>312419</xdr:rowOff>
    </xdr:to>
    <xdr:pic>
      <xdr:nvPicPr>
        <xdr:cNvPr id="27931" name="Picture 24" descr="Вилка электрическая &quot;Makel&quot; с заземлением №10002 белая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4291743"/>
          <a:ext cx="952362" cy="28242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19</xdr:row>
      <xdr:rowOff>262630</xdr:rowOff>
    </xdr:from>
    <xdr:to>
      <xdr:col>0</xdr:col>
      <xdr:colOff>1162420</xdr:colOff>
      <xdr:row>19</xdr:row>
      <xdr:rowOff>1188720</xdr:rowOff>
    </xdr:to>
    <xdr:pic>
      <xdr:nvPicPr>
        <xdr:cNvPr id="27932" name="Picture 165" descr="Переходник &quot;Makel&quot; №10009 евро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4686201"/>
          <a:ext cx="945794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224246</xdr:colOff>
      <xdr:row>22</xdr:row>
      <xdr:rowOff>345708</xdr:rowOff>
    </xdr:from>
    <xdr:to>
      <xdr:col>0</xdr:col>
      <xdr:colOff>1183176</xdr:colOff>
      <xdr:row>23</xdr:row>
      <xdr:rowOff>76199</xdr:rowOff>
    </xdr:to>
    <xdr:pic>
      <xdr:nvPicPr>
        <xdr:cNvPr id="27933" name="Picture 166" descr="http://www.sht-nn.ru/products/images/10026.png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46" y="19341279"/>
          <a:ext cx="958930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254726</xdr:colOff>
      <xdr:row>14</xdr:row>
      <xdr:rowOff>255010</xdr:rowOff>
    </xdr:from>
    <xdr:to>
      <xdr:col>0</xdr:col>
      <xdr:colOff>1180816</xdr:colOff>
      <xdr:row>14</xdr:row>
      <xdr:rowOff>1181100</xdr:rowOff>
    </xdr:to>
    <xdr:pic>
      <xdr:nvPicPr>
        <xdr:cNvPr id="27934" name="Рисунок 25" descr="10004_1333531983.jpg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726" y="7058581"/>
          <a:ext cx="926090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114</xdr:row>
      <xdr:rowOff>255010</xdr:rowOff>
    </xdr:from>
    <xdr:to>
      <xdr:col>0</xdr:col>
      <xdr:colOff>1217324</xdr:colOff>
      <xdr:row>114</xdr:row>
      <xdr:rowOff>1181100</xdr:rowOff>
    </xdr:to>
    <xdr:pic>
      <xdr:nvPicPr>
        <xdr:cNvPr id="27935" name="Рисунок 32" descr="http://slavinmag.ru/upload/resize_cache/iblock/b38/600_600_17f5c944b3b71591cc9304fac25365de2/b3816ccfbb5eb281a59d97ac452e8e71.jpg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159458581"/>
          <a:ext cx="1031178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224246</xdr:colOff>
      <xdr:row>52</xdr:row>
      <xdr:rowOff>345708</xdr:rowOff>
    </xdr:from>
    <xdr:to>
      <xdr:col>0</xdr:col>
      <xdr:colOff>1150336</xdr:colOff>
      <xdr:row>53</xdr:row>
      <xdr:rowOff>76199</xdr:rowOff>
    </xdr:to>
    <xdr:pic>
      <xdr:nvPicPr>
        <xdr:cNvPr id="27936" name="Picture 1546" descr="16011 розетка открыт.устан. с  заземл. керамика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46" y="65061279"/>
          <a:ext cx="926090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53</xdr:row>
      <xdr:rowOff>232150</xdr:rowOff>
    </xdr:from>
    <xdr:to>
      <xdr:col>0</xdr:col>
      <xdr:colOff>1138508</xdr:colOff>
      <xdr:row>53</xdr:row>
      <xdr:rowOff>1158240</xdr:rowOff>
    </xdr:to>
    <xdr:pic>
      <xdr:nvPicPr>
        <xdr:cNvPr id="27937" name="Рисунок 47" descr="http://0443622812.com/media/shop/4c/7a/product-Rozetka-otkritoy-ustanovki-bez-zazemleniya-Kremoviy-Makel-16012_4c7a6ce8214aabd60b164a9fcb94773f.ipthumb198xprop.png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66471721"/>
          <a:ext cx="952362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37</xdr:row>
      <xdr:rowOff>262630</xdr:rowOff>
    </xdr:from>
    <xdr:to>
      <xdr:col>0</xdr:col>
      <xdr:colOff>1087812</xdr:colOff>
      <xdr:row>37</xdr:row>
      <xdr:rowOff>1188720</xdr:rowOff>
    </xdr:to>
    <xdr:pic>
      <xdr:nvPicPr>
        <xdr:cNvPr id="27938" name="Picture 173" descr="&quot;Makel Mimoza&quot; выключатель oднoкл. № белый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42118201"/>
          <a:ext cx="84070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47</xdr:row>
      <xdr:rowOff>345708</xdr:rowOff>
    </xdr:from>
    <xdr:to>
      <xdr:col>0</xdr:col>
      <xdr:colOff>1149284</xdr:colOff>
      <xdr:row>48</xdr:row>
      <xdr:rowOff>76199</xdr:rowOff>
    </xdr:to>
    <xdr:pic>
      <xdr:nvPicPr>
        <xdr:cNvPr id="27939" name="Picture 224" descr="&quot;Makel Mimoza&quot; розетка с заземлением № белая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57441279"/>
          <a:ext cx="932658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66</xdr:row>
      <xdr:rowOff>262630</xdr:rowOff>
    </xdr:from>
    <xdr:to>
      <xdr:col>0</xdr:col>
      <xdr:colOff>1168988</xdr:colOff>
      <xdr:row>66</xdr:row>
      <xdr:rowOff>1188720</xdr:rowOff>
    </xdr:to>
    <xdr:pic>
      <xdr:nvPicPr>
        <xdr:cNvPr id="27940" name="Рисунок 134" descr="http://www.vseinstrumenti.ru/images/goods/703910/300x300/1002096.jpg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86314201"/>
          <a:ext cx="952362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254726</xdr:colOff>
      <xdr:row>85</xdr:row>
      <xdr:rowOff>282590</xdr:rowOff>
    </xdr:from>
    <xdr:to>
      <xdr:col>0</xdr:col>
      <xdr:colOff>1049456</xdr:colOff>
      <xdr:row>85</xdr:row>
      <xdr:rowOff>1143000</xdr:rowOff>
    </xdr:to>
    <xdr:pic>
      <xdr:nvPicPr>
        <xdr:cNvPr id="27941" name="Picture 1306" descr="Выключатель oднoклавишный для ОП &quot;Makel&quot; №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726" y="115290161"/>
          <a:ext cx="794730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224246</xdr:colOff>
      <xdr:row>89</xdr:row>
      <xdr:rowOff>345708</xdr:rowOff>
    </xdr:from>
    <xdr:to>
      <xdr:col>0</xdr:col>
      <xdr:colOff>1196312</xdr:colOff>
      <xdr:row>90</xdr:row>
      <xdr:rowOff>76199</xdr:rowOff>
    </xdr:to>
    <xdr:pic>
      <xdr:nvPicPr>
        <xdr:cNvPr id="27942" name="Picture 1311" descr="Розетка с заземлением для ОП &quot;Makel&quot; №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46" y="121449279"/>
          <a:ext cx="972066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292826</xdr:colOff>
      <xdr:row>93</xdr:row>
      <xdr:rowOff>255010</xdr:rowOff>
    </xdr:from>
    <xdr:to>
      <xdr:col>0</xdr:col>
      <xdr:colOff>1232052</xdr:colOff>
      <xdr:row>93</xdr:row>
      <xdr:rowOff>1181100</xdr:rowOff>
    </xdr:to>
    <xdr:pic>
      <xdr:nvPicPr>
        <xdr:cNvPr id="27943" name="Picture 1028" descr="Розетка 2 гнезда с заземлением для ОП &quot;Makel&quot; №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6" y="127454581"/>
          <a:ext cx="93922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254726</xdr:colOff>
      <xdr:row>54</xdr:row>
      <xdr:rowOff>345708</xdr:rowOff>
    </xdr:from>
    <xdr:to>
      <xdr:col>0</xdr:col>
      <xdr:colOff>1141408</xdr:colOff>
      <xdr:row>55</xdr:row>
      <xdr:rowOff>76199</xdr:rowOff>
    </xdr:to>
    <xdr:pic>
      <xdr:nvPicPr>
        <xdr:cNvPr id="27944" name="Рисунок 76" descr="http://cdn.e96.ru/assets/images/catalog/household_appliances/vyklyuchateli/655891/655891_2734324.png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726" y="68109279"/>
          <a:ext cx="886682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60</xdr:row>
      <xdr:rowOff>255010</xdr:rowOff>
    </xdr:from>
    <xdr:to>
      <xdr:col>0</xdr:col>
      <xdr:colOff>1163728</xdr:colOff>
      <xdr:row>60</xdr:row>
      <xdr:rowOff>1181100</xdr:rowOff>
    </xdr:to>
    <xdr:pic>
      <xdr:nvPicPr>
        <xdr:cNvPr id="27945" name="Picture 2360" descr="Блок розетка + двухклав.выключатель № 18351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77162581"/>
          <a:ext cx="985202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369026</xdr:colOff>
      <xdr:row>151</xdr:row>
      <xdr:rowOff>302294</xdr:rowOff>
    </xdr:from>
    <xdr:to>
      <xdr:col>0</xdr:col>
      <xdr:colOff>1111212</xdr:colOff>
      <xdr:row>151</xdr:row>
      <xdr:rowOff>1143000</xdr:rowOff>
    </xdr:to>
    <xdr:pic>
      <xdr:nvPicPr>
        <xdr:cNvPr id="2794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26" y="215893865"/>
          <a:ext cx="742186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187</xdr:row>
      <xdr:rowOff>314972</xdr:rowOff>
    </xdr:from>
    <xdr:to>
      <xdr:col>0</xdr:col>
      <xdr:colOff>1195260</xdr:colOff>
      <xdr:row>188</xdr:row>
      <xdr:rowOff>91439</xdr:rowOff>
    </xdr:to>
    <xdr:pic>
      <xdr:nvPicPr>
        <xdr:cNvPr id="2794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270770543"/>
          <a:ext cx="978634" cy="1300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315</xdr:row>
      <xdr:rowOff>281282</xdr:rowOff>
    </xdr:from>
    <xdr:to>
      <xdr:col>0</xdr:col>
      <xdr:colOff>1109876</xdr:colOff>
      <xdr:row>315</xdr:row>
      <xdr:rowOff>1181100</xdr:rowOff>
    </xdr:to>
    <xdr:pic>
      <xdr:nvPicPr>
        <xdr:cNvPr id="2794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465808853"/>
          <a:ext cx="893250" cy="899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322</xdr:row>
      <xdr:rowOff>304142</xdr:rowOff>
    </xdr:from>
    <xdr:to>
      <xdr:col>0</xdr:col>
      <xdr:colOff>1109876</xdr:colOff>
      <xdr:row>322</xdr:row>
      <xdr:rowOff>1203960</xdr:rowOff>
    </xdr:to>
    <xdr:pic>
      <xdr:nvPicPr>
        <xdr:cNvPr id="2794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476499713"/>
          <a:ext cx="893250" cy="899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315686</xdr:colOff>
      <xdr:row>329</xdr:row>
      <xdr:rowOff>310966</xdr:rowOff>
    </xdr:from>
    <xdr:to>
      <xdr:col>0</xdr:col>
      <xdr:colOff>1156392</xdr:colOff>
      <xdr:row>329</xdr:row>
      <xdr:rowOff>1158240</xdr:rowOff>
    </xdr:to>
    <xdr:pic>
      <xdr:nvPicPr>
        <xdr:cNvPr id="2795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686" y="487174537"/>
          <a:ext cx="840706" cy="847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336</xdr:row>
      <xdr:rowOff>285490</xdr:rowOff>
    </xdr:from>
    <xdr:to>
      <xdr:col>0</xdr:col>
      <xdr:colOff>1132992</xdr:colOff>
      <xdr:row>336</xdr:row>
      <xdr:rowOff>1211580</xdr:rowOff>
    </xdr:to>
    <xdr:pic>
      <xdr:nvPicPr>
        <xdr:cNvPr id="2795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497817061"/>
          <a:ext cx="93922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342</xdr:row>
      <xdr:rowOff>314122</xdr:rowOff>
    </xdr:from>
    <xdr:to>
      <xdr:col>0</xdr:col>
      <xdr:colOff>1096740</xdr:colOff>
      <xdr:row>342</xdr:row>
      <xdr:rowOff>1181100</xdr:rowOff>
    </xdr:to>
    <xdr:pic>
      <xdr:nvPicPr>
        <xdr:cNvPr id="2795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506989693"/>
          <a:ext cx="880114" cy="866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349</xdr:row>
      <xdr:rowOff>267094</xdr:rowOff>
    </xdr:from>
    <xdr:to>
      <xdr:col>0</xdr:col>
      <xdr:colOff>1093584</xdr:colOff>
      <xdr:row>349</xdr:row>
      <xdr:rowOff>1173480</xdr:rowOff>
    </xdr:to>
    <xdr:pic>
      <xdr:nvPicPr>
        <xdr:cNvPr id="2795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517610665"/>
          <a:ext cx="899818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360</xdr:row>
      <xdr:rowOff>301498</xdr:rowOff>
    </xdr:from>
    <xdr:to>
      <xdr:col>0</xdr:col>
      <xdr:colOff>1089916</xdr:colOff>
      <xdr:row>360</xdr:row>
      <xdr:rowOff>1089660</xdr:rowOff>
    </xdr:to>
    <xdr:pic>
      <xdr:nvPicPr>
        <xdr:cNvPr id="2795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534409069"/>
          <a:ext cx="827570" cy="788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292826</xdr:colOff>
      <xdr:row>80</xdr:row>
      <xdr:rowOff>326004</xdr:rowOff>
    </xdr:from>
    <xdr:to>
      <xdr:col>0</xdr:col>
      <xdr:colOff>1238620</xdr:colOff>
      <xdr:row>81</xdr:row>
      <xdr:rowOff>76199</xdr:rowOff>
    </xdr:to>
    <xdr:pic>
      <xdr:nvPicPr>
        <xdr:cNvPr id="2795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6" y="107713575"/>
          <a:ext cx="945794" cy="1274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32</xdr:row>
      <xdr:rowOff>236358</xdr:rowOff>
    </xdr:from>
    <xdr:to>
      <xdr:col>0</xdr:col>
      <xdr:colOff>1162420</xdr:colOff>
      <xdr:row>32</xdr:row>
      <xdr:rowOff>1188720</xdr:rowOff>
    </xdr:to>
    <xdr:pic>
      <xdr:nvPicPr>
        <xdr:cNvPr id="2795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34471929"/>
          <a:ext cx="945794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20</xdr:row>
      <xdr:rowOff>276022</xdr:rowOff>
    </xdr:from>
    <xdr:to>
      <xdr:col>0</xdr:col>
      <xdr:colOff>1127220</xdr:colOff>
      <xdr:row>20</xdr:row>
      <xdr:rowOff>1143000</xdr:rowOff>
    </xdr:to>
    <xdr:pic>
      <xdr:nvPicPr>
        <xdr:cNvPr id="2795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6223593"/>
          <a:ext cx="880114" cy="866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35</xdr:row>
      <xdr:rowOff>295982</xdr:rowOff>
    </xdr:from>
    <xdr:to>
      <xdr:col>0</xdr:col>
      <xdr:colOff>1070212</xdr:colOff>
      <xdr:row>35</xdr:row>
      <xdr:rowOff>1097280</xdr:rowOff>
    </xdr:to>
    <xdr:pic>
      <xdr:nvPicPr>
        <xdr:cNvPr id="2795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39103553"/>
          <a:ext cx="807866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231866</xdr:colOff>
      <xdr:row>28</xdr:row>
      <xdr:rowOff>340906</xdr:rowOff>
    </xdr:from>
    <xdr:to>
      <xdr:col>0</xdr:col>
      <xdr:colOff>1197365</xdr:colOff>
      <xdr:row>28</xdr:row>
      <xdr:rowOff>1089660</xdr:rowOff>
    </xdr:to>
    <xdr:pic>
      <xdr:nvPicPr>
        <xdr:cNvPr id="2795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866" y="28480477"/>
          <a:ext cx="965499" cy="748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269966</xdr:colOff>
      <xdr:row>13</xdr:row>
      <xdr:rowOff>172442</xdr:rowOff>
    </xdr:from>
    <xdr:to>
      <xdr:col>0</xdr:col>
      <xdr:colOff>1123808</xdr:colOff>
      <xdr:row>13</xdr:row>
      <xdr:rowOff>678179</xdr:rowOff>
    </xdr:to>
    <xdr:pic>
      <xdr:nvPicPr>
        <xdr:cNvPr id="2796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966" y="5452013"/>
          <a:ext cx="853842" cy="505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103</xdr:row>
      <xdr:rowOff>279434</xdr:rowOff>
    </xdr:from>
    <xdr:to>
      <xdr:col>0</xdr:col>
      <xdr:colOff>1096484</xdr:colOff>
      <xdr:row>103</xdr:row>
      <xdr:rowOff>1120140</xdr:rowOff>
    </xdr:to>
    <xdr:pic>
      <xdr:nvPicPr>
        <xdr:cNvPr id="2796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142719005"/>
          <a:ext cx="834138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104</xdr:row>
      <xdr:rowOff>267094</xdr:rowOff>
    </xdr:from>
    <xdr:to>
      <xdr:col>0</xdr:col>
      <xdr:colOff>1093584</xdr:colOff>
      <xdr:row>104</xdr:row>
      <xdr:rowOff>1173480</xdr:rowOff>
    </xdr:to>
    <xdr:pic>
      <xdr:nvPicPr>
        <xdr:cNvPr id="2796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144230665"/>
          <a:ext cx="899818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269966</xdr:colOff>
      <xdr:row>105</xdr:row>
      <xdr:rowOff>276278</xdr:rowOff>
    </xdr:from>
    <xdr:to>
      <xdr:col>0</xdr:col>
      <xdr:colOff>1097536</xdr:colOff>
      <xdr:row>105</xdr:row>
      <xdr:rowOff>1097280</xdr:rowOff>
    </xdr:to>
    <xdr:pic>
      <xdr:nvPicPr>
        <xdr:cNvPr id="2796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966" y="145763849"/>
          <a:ext cx="827570" cy="821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163286</xdr:colOff>
      <xdr:row>106</xdr:row>
      <xdr:rowOff>245030</xdr:rowOff>
    </xdr:from>
    <xdr:to>
      <xdr:col>0</xdr:col>
      <xdr:colOff>1128784</xdr:colOff>
      <xdr:row>106</xdr:row>
      <xdr:rowOff>1203960</xdr:rowOff>
    </xdr:to>
    <xdr:pic>
      <xdr:nvPicPr>
        <xdr:cNvPr id="2796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147256601"/>
          <a:ext cx="965498" cy="958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107</xdr:row>
      <xdr:rowOff>255010</xdr:rowOff>
    </xdr:from>
    <xdr:to>
      <xdr:col>0</xdr:col>
      <xdr:colOff>1132992</xdr:colOff>
      <xdr:row>107</xdr:row>
      <xdr:rowOff>1181100</xdr:rowOff>
    </xdr:to>
    <xdr:pic>
      <xdr:nvPicPr>
        <xdr:cNvPr id="2796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148790581"/>
          <a:ext cx="93922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108</xdr:row>
      <xdr:rowOff>267094</xdr:rowOff>
    </xdr:from>
    <xdr:to>
      <xdr:col>0</xdr:col>
      <xdr:colOff>1146924</xdr:colOff>
      <xdr:row>108</xdr:row>
      <xdr:rowOff>1173480</xdr:rowOff>
    </xdr:to>
    <xdr:pic>
      <xdr:nvPicPr>
        <xdr:cNvPr id="2796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50326665"/>
          <a:ext cx="899818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102</xdr:row>
      <xdr:rowOff>290804</xdr:rowOff>
    </xdr:from>
    <xdr:to>
      <xdr:col>0</xdr:col>
      <xdr:colOff>1221532</xdr:colOff>
      <xdr:row>103</xdr:row>
      <xdr:rowOff>106679</xdr:rowOff>
    </xdr:to>
    <xdr:pic>
      <xdr:nvPicPr>
        <xdr:cNvPr id="2796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41206375"/>
          <a:ext cx="1004906" cy="1339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103</xdr:row>
      <xdr:rowOff>340192</xdr:rowOff>
    </xdr:from>
    <xdr:to>
      <xdr:col>0</xdr:col>
      <xdr:colOff>1186332</xdr:colOff>
      <xdr:row>104</xdr:row>
      <xdr:rowOff>83819</xdr:rowOff>
    </xdr:to>
    <xdr:pic>
      <xdr:nvPicPr>
        <xdr:cNvPr id="2796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42779763"/>
          <a:ext cx="939226" cy="1267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111</xdr:row>
      <xdr:rowOff>273918</xdr:rowOff>
    </xdr:from>
    <xdr:to>
      <xdr:col>0</xdr:col>
      <xdr:colOff>1100948</xdr:colOff>
      <xdr:row>111</xdr:row>
      <xdr:rowOff>1127760</xdr:rowOff>
    </xdr:to>
    <xdr:pic>
      <xdr:nvPicPr>
        <xdr:cNvPr id="2796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54905489"/>
          <a:ext cx="853842" cy="853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292826</xdr:colOff>
      <xdr:row>112</xdr:row>
      <xdr:rowOff>272866</xdr:rowOff>
    </xdr:from>
    <xdr:to>
      <xdr:col>0</xdr:col>
      <xdr:colOff>1133532</xdr:colOff>
      <xdr:row>112</xdr:row>
      <xdr:rowOff>1120140</xdr:rowOff>
    </xdr:to>
    <xdr:pic>
      <xdr:nvPicPr>
        <xdr:cNvPr id="2797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6" y="156428437"/>
          <a:ext cx="840706" cy="847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113</xdr:row>
      <xdr:rowOff>276022</xdr:rowOff>
    </xdr:from>
    <xdr:to>
      <xdr:col>0</xdr:col>
      <xdr:colOff>1142460</xdr:colOff>
      <xdr:row>113</xdr:row>
      <xdr:rowOff>1143000</xdr:rowOff>
    </xdr:to>
    <xdr:pic>
      <xdr:nvPicPr>
        <xdr:cNvPr id="2797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157955593"/>
          <a:ext cx="880114" cy="866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115</xdr:row>
      <xdr:rowOff>239770</xdr:rowOff>
    </xdr:from>
    <xdr:to>
      <xdr:col>0</xdr:col>
      <xdr:colOff>1132992</xdr:colOff>
      <xdr:row>115</xdr:row>
      <xdr:rowOff>1165860</xdr:rowOff>
    </xdr:to>
    <xdr:pic>
      <xdr:nvPicPr>
        <xdr:cNvPr id="2797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160967341"/>
          <a:ext cx="93922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116</xdr:row>
      <xdr:rowOff>240564</xdr:rowOff>
    </xdr:from>
    <xdr:to>
      <xdr:col>0</xdr:col>
      <xdr:colOff>1159265</xdr:colOff>
      <xdr:row>116</xdr:row>
      <xdr:rowOff>1219199</xdr:rowOff>
    </xdr:to>
    <xdr:pic>
      <xdr:nvPicPr>
        <xdr:cNvPr id="2797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162492135"/>
          <a:ext cx="965499" cy="97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117</xdr:row>
      <xdr:rowOff>239770</xdr:rowOff>
    </xdr:from>
    <xdr:to>
      <xdr:col>0</xdr:col>
      <xdr:colOff>1117752</xdr:colOff>
      <xdr:row>117</xdr:row>
      <xdr:rowOff>1165860</xdr:rowOff>
    </xdr:to>
    <xdr:pic>
      <xdr:nvPicPr>
        <xdr:cNvPr id="2797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164015341"/>
          <a:ext cx="93922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111</xdr:row>
      <xdr:rowOff>299732</xdr:rowOff>
    </xdr:from>
    <xdr:to>
      <xdr:col>0</xdr:col>
      <xdr:colOff>1144024</xdr:colOff>
      <xdr:row>112</xdr:row>
      <xdr:rowOff>76199</xdr:rowOff>
    </xdr:to>
    <xdr:pic>
      <xdr:nvPicPr>
        <xdr:cNvPr id="2797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154931303"/>
          <a:ext cx="965498" cy="1300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38</xdr:row>
      <xdr:rowOff>258166</xdr:rowOff>
    </xdr:from>
    <xdr:to>
      <xdr:col>0</xdr:col>
      <xdr:colOff>1107516</xdr:colOff>
      <xdr:row>38</xdr:row>
      <xdr:rowOff>1203960</xdr:rowOff>
    </xdr:to>
    <xdr:pic>
      <xdr:nvPicPr>
        <xdr:cNvPr id="2797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43637737"/>
          <a:ext cx="860410" cy="945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39</xdr:row>
      <xdr:rowOff>283386</xdr:rowOff>
    </xdr:from>
    <xdr:to>
      <xdr:col>0</xdr:col>
      <xdr:colOff>1074676</xdr:colOff>
      <xdr:row>39</xdr:row>
      <xdr:rowOff>1196340</xdr:rowOff>
    </xdr:to>
    <xdr:pic>
      <xdr:nvPicPr>
        <xdr:cNvPr id="2797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45186957"/>
          <a:ext cx="827570" cy="912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40</xdr:row>
      <xdr:rowOff>286798</xdr:rowOff>
    </xdr:from>
    <xdr:to>
      <xdr:col>0</xdr:col>
      <xdr:colOff>1087016</xdr:colOff>
      <xdr:row>40</xdr:row>
      <xdr:rowOff>1173480</xdr:rowOff>
    </xdr:to>
    <xdr:pic>
      <xdr:nvPicPr>
        <xdr:cNvPr id="2797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46714369"/>
          <a:ext cx="893250" cy="886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41</xdr:row>
      <xdr:rowOff>242926</xdr:rowOff>
    </xdr:from>
    <xdr:to>
      <xdr:col>0</xdr:col>
      <xdr:colOff>1162420</xdr:colOff>
      <xdr:row>41</xdr:row>
      <xdr:rowOff>1188720</xdr:rowOff>
    </xdr:to>
    <xdr:pic>
      <xdr:nvPicPr>
        <xdr:cNvPr id="2797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48194497"/>
          <a:ext cx="945794" cy="945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231866</xdr:colOff>
      <xdr:row>42</xdr:row>
      <xdr:rowOff>273406</xdr:rowOff>
    </xdr:from>
    <xdr:to>
      <xdr:col>0</xdr:col>
      <xdr:colOff>1092276</xdr:colOff>
      <xdr:row>42</xdr:row>
      <xdr:rowOff>1219200</xdr:rowOff>
    </xdr:to>
    <xdr:pic>
      <xdr:nvPicPr>
        <xdr:cNvPr id="2798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866" y="49748977"/>
          <a:ext cx="860410" cy="9457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369026</xdr:colOff>
      <xdr:row>43</xdr:row>
      <xdr:rowOff>310966</xdr:rowOff>
    </xdr:from>
    <xdr:to>
      <xdr:col>0</xdr:col>
      <xdr:colOff>979851</xdr:colOff>
      <xdr:row>43</xdr:row>
      <xdr:rowOff>1158240</xdr:rowOff>
    </xdr:to>
    <xdr:pic>
      <xdr:nvPicPr>
        <xdr:cNvPr id="2798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026" y="51310537"/>
          <a:ext cx="610825" cy="847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44</xdr:row>
      <xdr:rowOff>256574</xdr:rowOff>
    </xdr:from>
    <xdr:to>
      <xdr:col>0</xdr:col>
      <xdr:colOff>1087812</xdr:colOff>
      <xdr:row>44</xdr:row>
      <xdr:rowOff>1097280</xdr:rowOff>
    </xdr:to>
    <xdr:pic>
      <xdr:nvPicPr>
        <xdr:cNvPr id="2798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52780145"/>
          <a:ext cx="840706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45</xdr:row>
      <xdr:rowOff>273122</xdr:rowOff>
    </xdr:from>
    <xdr:to>
      <xdr:col>0</xdr:col>
      <xdr:colOff>991396</xdr:colOff>
      <xdr:row>45</xdr:row>
      <xdr:rowOff>1074420</xdr:rowOff>
    </xdr:to>
    <xdr:pic>
      <xdr:nvPicPr>
        <xdr:cNvPr id="2798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54320693"/>
          <a:ext cx="729050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46</xdr:row>
      <xdr:rowOff>288106</xdr:rowOff>
    </xdr:from>
    <xdr:to>
      <xdr:col>0</xdr:col>
      <xdr:colOff>1026852</xdr:colOff>
      <xdr:row>46</xdr:row>
      <xdr:rowOff>1135380</xdr:rowOff>
    </xdr:to>
    <xdr:pic>
      <xdr:nvPicPr>
        <xdr:cNvPr id="2798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55859677"/>
          <a:ext cx="840706" cy="847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315686</xdr:colOff>
      <xdr:row>48</xdr:row>
      <xdr:rowOff>292570</xdr:rowOff>
    </xdr:from>
    <xdr:to>
      <xdr:col>0</xdr:col>
      <xdr:colOff>1064440</xdr:colOff>
      <xdr:row>48</xdr:row>
      <xdr:rowOff>1120140</xdr:rowOff>
    </xdr:to>
    <xdr:pic>
      <xdr:nvPicPr>
        <xdr:cNvPr id="2798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686" y="58912141"/>
          <a:ext cx="748754" cy="827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49</xdr:row>
      <xdr:rowOff>297830</xdr:rowOff>
    </xdr:from>
    <xdr:to>
      <xdr:col>0</xdr:col>
      <xdr:colOff>1043940</xdr:colOff>
      <xdr:row>49</xdr:row>
      <xdr:rowOff>1158240</xdr:rowOff>
    </xdr:to>
    <xdr:pic>
      <xdr:nvPicPr>
        <xdr:cNvPr id="2798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60441401"/>
          <a:ext cx="781594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269966</xdr:colOff>
      <xdr:row>51</xdr:row>
      <xdr:rowOff>236358</xdr:rowOff>
    </xdr:from>
    <xdr:to>
      <xdr:col>0</xdr:col>
      <xdr:colOff>1136944</xdr:colOff>
      <xdr:row>51</xdr:row>
      <xdr:rowOff>1188720</xdr:rowOff>
    </xdr:to>
    <xdr:pic>
      <xdr:nvPicPr>
        <xdr:cNvPr id="2798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966" y="63427929"/>
          <a:ext cx="866978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62</xdr:row>
      <xdr:rowOff>341958</xdr:rowOff>
    </xdr:from>
    <xdr:to>
      <xdr:col>0</xdr:col>
      <xdr:colOff>1249113</xdr:colOff>
      <xdr:row>62</xdr:row>
      <xdr:rowOff>1097280</xdr:rowOff>
    </xdr:to>
    <xdr:pic>
      <xdr:nvPicPr>
        <xdr:cNvPr id="2798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80297529"/>
          <a:ext cx="1070587" cy="755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63</xdr:row>
      <xdr:rowOff>303830</xdr:rowOff>
    </xdr:from>
    <xdr:to>
      <xdr:col>0</xdr:col>
      <xdr:colOff>1243056</xdr:colOff>
      <xdr:row>63</xdr:row>
      <xdr:rowOff>868679</xdr:rowOff>
    </xdr:to>
    <xdr:pic>
      <xdr:nvPicPr>
        <xdr:cNvPr id="2798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81783401"/>
          <a:ext cx="1155970" cy="5648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64</xdr:row>
      <xdr:rowOff>239770</xdr:rowOff>
    </xdr:from>
    <xdr:to>
      <xdr:col>0</xdr:col>
      <xdr:colOff>1132992</xdr:colOff>
      <xdr:row>64</xdr:row>
      <xdr:rowOff>1165860</xdr:rowOff>
    </xdr:to>
    <xdr:pic>
      <xdr:nvPicPr>
        <xdr:cNvPr id="2799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83243341"/>
          <a:ext cx="93922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132</xdr:row>
      <xdr:rowOff>293164</xdr:rowOff>
    </xdr:from>
    <xdr:to>
      <xdr:col>0</xdr:col>
      <xdr:colOff>1234412</xdr:colOff>
      <xdr:row>133</xdr:row>
      <xdr:rowOff>76199</xdr:rowOff>
    </xdr:to>
    <xdr:pic>
      <xdr:nvPicPr>
        <xdr:cNvPr id="2799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186928735"/>
          <a:ext cx="972066" cy="1307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67</xdr:row>
      <xdr:rowOff>312018</xdr:rowOff>
    </xdr:from>
    <xdr:to>
      <xdr:col>0</xdr:col>
      <xdr:colOff>1116188</xdr:colOff>
      <xdr:row>67</xdr:row>
      <xdr:rowOff>1165860</xdr:rowOff>
    </xdr:to>
    <xdr:pic>
      <xdr:nvPicPr>
        <xdr:cNvPr id="2799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87887589"/>
          <a:ext cx="853842" cy="853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285206</xdr:colOff>
      <xdr:row>68</xdr:row>
      <xdr:rowOff>322254</xdr:rowOff>
    </xdr:from>
    <xdr:to>
      <xdr:col>0</xdr:col>
      <xdr:colOff>1053664</xdr:colOff>
      <xdr:row>68</xdr:row>
      <xdr:rowOff>1097280</xdr:rowOff>
    </xdr:to>
    <xdr:pic>
      <xdr:nvPicPr>
        <xdr:cNvPr id="2799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206" y="89421825"/>
          <a:ext cx="768458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315686</xdr:colOff>
      <xdr:row>69</xdr:row>
      <xdr:rowOff>351426</xdr:rowOff>
    </xdr:from>
    <xdr:to>
      <xdr:col>0</xdr:col>
      <xdr:colOff>1123552</xdr:colOff>
      <xdr:row>69</xdr:row>
      <xdr:rowOff>1165860</xdr:rowOff>
    </xdr:to>
    <xdr:pic>
      <xdr:nvPicPr>
        <xdr:cNvPr id="2799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686" y="90974997"/>
          <a:ext cx="807866" cy="814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70</xdr:row>
      <xdr:rowOff>237666</xdr:rowOff>
    </xdr:from>
    <xdr:to>
      <xdr:col>0</xdr:col>
      <xdr:colOff>1106720</xdr:colOff>
      <xdr:row>70</xdr:row>
      <xdr:rowOff>1150620</xdr:rowOff>
    </xdr:to>
    <xdr:pic>
      <xdr:nvPicPr>
        <xdr:cNvPr id="2799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92385237"/>
          <a:ext cx="912954" cy="912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71</xdr:row>
      <xdr:rowOff>282334</xdr:rowOff>
    </xdr:from>
    <xdr:to>
      <xdr:col>0</xdr:col>
      <xdr:colOff>1116444</xdr:colOff>
      <xdr:row>71</xdr:row>
      <xdr:rowOff>1188720</xdr:rowOff>
    </xdr:to>
    <xdr:pic>
      <xdr:nvPicPr>
        <xdr:cNvPr id="2799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93953905"/>
          <a:ext cx="899818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269966</xdr:colOff>
      <xdr:row>72</xdr:row>
      <xdr:rowOff>326462</xdr:rowOff>
    </xdr:from>
    <xdr:to>
      <xdr:col>0</xdr:col>
      <xdr:colOff>1077832</xdr:colOff>
      <xdr:row>72</xdr:row>
      <xdr:rowOff>1127760</xdr:rowOff>
    </xdr:to>
    <xdr:pic>
      <xdr:nvPicPr>
        <xdr:cNvPr id="2799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966" y="95522033"/>
          <a:ext cx="807866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73</xdr:row>
      <xdr:rowOff>296778</xdr:rowOff>
    </xdr:from>
    <xdr:to>
      <xdr:col>0</xdr:col>
      <xdr:colOff>1100948</xdr:colOff>
      <xdr:row>73</xdr:row>
      <xdr:rowOff>1150620</xdr:rowOff>
    </xdr:to>
    <xdr:pic>
      <xdr:nvPicPr>
        <xdr:cNvPr id="2799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97016349"/>
          <a:ext cx="853842" cy="853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74</xdr:row>
      <xdr:rowOff>298086</xdr:rowOff>
    </xdr:from>
    <xdr:to>
      <xdr:col>0</xdr:col>
      <xdr:colOff>1068108</xdr:colOff>
      <xdr:row>74</xdr:row>
      <xdr:rowOff>1112520</xdr:rowOff>
    </xdr:to>
    <xdr:pic>
      <xdr:nvPicPr>
        <xdr:cNvPr id="2799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98541657"/>
          <a:ext cx="821002" cy="814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285206</xdr:colOff>
      <xdr:row>75</xdr:row>
      <xdr:rowOff>268914</xdr:rowOff>
    </xdr:from>
    <xdr:to>
      <xdr:col>0</xdr:col>
      <xdr:colOff>1060232</xdr:colOff>
      <xdr:row>75</xdr:row>
      <xdr:rowOff>1043940</xdr:rowOff>
    </xdr:to>
    <xdr:pic>
      <xdr:nvPicPr>
        <xdr:cNvPr id="2800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206" y="100036485"/>
          <a:ext cx="775026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76</xdr:row>
      <xdr:rowOff>288362</xdr:rowOff>
    </xdr:from>
    <xdr:to>
      <xdr:col>0</xdr:col>
      <xdr:colOff>1054972</xdr:colOff>
      <xdr:row>76</xdr:row>
      <xdr:rowOff>1089660</xdr:rowOff>
    </xdr:to>
    <xdr:pic>
      <xdr:nvPicPr>
        <xdr:cNvPr id="2800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01579933"/>
          <a:ext cx="807866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77</xdr:row>
      <xdr:rowOff>295982</xdr:rowOff>
    </xdr:from>
    <xdr:to>
      <xdr:col>0</xdr:col>
      <xdr:colOff>1054972</xdr:colOff>
      <xdr:row>77</xdr:row>
      <xdr:rowOff>1097280</xdr:rowOff>
    </xdr:to>
    <xdr:pic>
      <xdr:nvPicPr>
        <xdr:cNvPr id="2800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03111553"/>
          <a:ext cx="807866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78</xdr:row>
      <xdr:rowOff>294930</xdr:rowOff>
    </xdr:from>
    <xdr:to>
      <xdr:col>0</xdr:col>
      <xdr:colOff>1011356</xdr:colOff>
      <xdr:row>78</xdr:row>
      <xdr:rowOff>1089660</xdr:rowOff>
    </xdr:to>
    <xdr:pic>
      <xdr:nvPicPr>
        <xdr:cNvPr id="2800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04634501"/>
          <a:ext cx="794730" cy="794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79</xdr:row>
      <xdr:rowOff>267094</xdr:rowOff>
    </xdr:from>
    <xdr:to>
      <xdr:col>0</xdr:col>
      <xdr:colOff>1146924</xdr:colOff>
      <xdr:row>79</xdr:row>
      <xdr:rowOff>1173480</xdr:rowOff>
    </xdr:to>
    <xdr:pic>
      <xdr:nvPicPr>
        <xdr:cNvPr id="2800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06130665"/>
          <a:ext cx="899818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361406</xdr:colOff>
      <xdr:row>50</xdr:row>
      <xdr:rowOff>293366</xdr:rowOff>
    </xdr:from>
    <xdr:to>
      <xdr:col>0</xdr:col>
      <xdr:colOff>1064184</xdr:colOff>
      <xdr:row>50</xdr:row>
      <xdr:rowOff>1173480</xdr:rowOff>
    </xdr:to>
    <xdr:pic>
      <xdr:nvPicPr>
        <xdr:cNvPr id="2800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406" y="61960937"/>
          <a:ext cx="702778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80</xdr:row>
      <xdr:rowOff>288362</xdr:rowOff>
    </xdr:from>
    <xdr:to>
      <xdr:col>0</xdr:col>
      <xdr:colOff>1024492</xdr:colOff>
      <xdr:row>80</xdr:row>
      <xdr:rowOff>1089660</xdr:rowOff>
    </xdr:to>
    <xdr:pic>
      <xdr:nvPicPr>
        <xdr:cNvPr id="2800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07675933"/>
          <a:ext cx="807866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81</xdr:row>
      <xdr:rowOff>256574</xdr:rowOff>
    </xdr:from>
    <xdr:to>
      <xdr:col>0</xdr:col>
      <xdr:colOff>1057332</xdr:colOff>
      <xdr:row>81</xdr:row>
      <xdr:rowOff>1097280</xdr:rowOff>
    </xdr:to>
    <xdr:pic>
      <xdr:nvPicPr>
        <xdr:cNvPr id="2800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09168145"/>
          <a:ext cx="840706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82</xdr:row>
      <xdr:rowOff>248698</xdr:rowOff>
    </xdr:from>
    <xdr:to>
      <xdr:col>0</xdr:col>
      <xdr:colOff>1096740</xdr:colOff>
      <xdr:row>82</xdr:row>
      <xdr:rowOff>1135380</xdr:rowOff>
    </xdr:to>
    <xdr:pic>
      <xdr:nvPicPr>
        <xdr:cNvPr id="2800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10684269"/>
          <a:ext cx="880114" cy="886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83</xdr:row>
      <xdr:rowOff>273918</xdr:rowOff>
    </xdr:from>
    <xdr:to>
      <xdr:col>0</xdr:col>
      <xdr:colOff>1116188</xdr:colOff>
      <xdr:row>83</xdr:row>
      <xdr:rowOff>1127760</xdr:rowOff>
    </xdr:to>
    <xdr:pic>
      <xdr:nvPicPr>
        <xdr:cNvPr id="2800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112233489"/>
          <a:ext cx="853842" cy="853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84</xdr:row>
      <xdr:rowOff>268146</xdr:rowOff>
    </xdr:from>
    <xdr:to>
      <xdr:col>0</xdr:col>
      <xdr:colOff>1129580</xdr:colOff>
      <xdr:row>84</xdr:row>
      <xdr:rowOff>1181100</xdr:rowOff>
    </xdr:to>
    <xdr:pic>
      <xdr:nvPicPr>
        <xdr:cNvPr id="2801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13751717"/>
          <a:ext cx="912954" cy="912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86</xdr:row>
      <xdr:rowOff>283642</xdr:rowOff>
    </xdr:from>
    <xdr:to>
      <xdr:col>0</xdr:col>
      <xdr:colOff>1057076</xdr:colOff>
      <xdr:row>86</xdr:row>
      <xdr:rowOff>1150620</xdr:rowOff>
    </xdr:to>
    <xdr:pic>
      <xdr:nvPicPr>
        <xdr:cNvPr id="2801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116815213"/>
          <a:ext cx="794730" cy="866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87</xdr:row>
      <xdr:rowOff>260270</xdr:rowOff>
    </xdr:from>
    <xdr:to>
      <xdr:col>0</xdr:col>
      <xdr:colOff>1066260</xdr:colOff>
      <xdr:row>87</xdr:row>
      <xdr:rowOff>1219200</xdr:rowOff>
    </xdr:to>
    <xdr:pic>
      <xdr:nvPicPr>
        <xdr:cNvPr id="2801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118315841"/>
          <a:ext cx="880114" cy="958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88</xdr:row>
      <xdr:rowOff>282590</xdr:rowOff>
    </xdr:from>
    <xdr:to>
      <xdr:col>0</xdr:col>
      <xdr:colOff>1043940</xdr:colOff>
      <xdr:row>88</xdr:row>
      <xdr:rowOff>1143000</xdr:rowOff>
    </xdr:to>
    <xdr:pic>
      <xdr:nvPicPr>
        <xdr:cNvPr id="2801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119862161"/>
          <a:ext cx="781594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292826</xdr:colOff>
      <xdr:row>90</xdr:row>
      <xdr:rowOff>341702</xdr:rowOff>
    </xdr:from>
    <xdr:to>
      <xdr:col>0</xdr:col>
      <xdr:colOff>1100692</xdr:colOff>
      <xdr:row>90</xdr:row>
      <xdr:rowOff>1143000</xdr:rowOff>
    </xdr:to>
    <xdr:pic>
      <xdr:nvPicPr>
        <xdr:cNvPr id="2801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6" y="122969273"/>
          <a:ext cx="807866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91</xdr:row>
      <xdr:rowOff>282846</xdr:rowOff>
    </xdr:from>
    <xdr:to>
      <xdr:col>0</xdr:col>
      <xdr:colOff>1004532</xdr:colOff>
      <xdr:row>91</xdr:row>
      <xdr:rowOff>1097280</xdr:rowOff>
    </xdr:to>
    <xdr:pic>
      <xdr:nvPicPr>
        <xdr:cNvPr id="2801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124434417"/>
          <a:ext cx="742186" cy="814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92</xdr:row>
      <xdr:rowOff>260782</xdr:rowOff>
    </xdr:from>
    <xdr:to>
      <xdr:col>0</xdr:col>
      <xdr:colOff>1041836</xdr:colOff>
      <xdr:row>92</xdr:row>
      <xdr:rowOff>1127760</xdr:rowOff>
    </xdr:to>
    <xdr:pic>
      <xdr:nvPicPr>
        <xdr:cNvPr id="2801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25936353"/>
          <a:ext cx="794730" cy="866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285206</xdr:colOff>
      <xdr:row>161</xdr:row>
      <xdr:rowOff>365412</xdr:rowOff>
    </xdr:from>
    <xdr:to>
      <xdr:col>0</xdr:col>
      <xdr:colOff>1185024</xdr:colOff>
      <xdr:row>162</xdr:row>
      <xdr:rowOff>76199</xdr:rowOff>
    </xdr:to>
    <xdr:pic>
      <xdr:nvPicPr>
        <xdr:cNvPr id="2801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206" y="231196983"/>
          <a:ext cx="899818" cy="12347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95</xdr:row>
      <xdr:rowOff>298086</xdr:rowOff>
    </xdr:from>
    <xdr:to>
      <xdr:col>0</xdr:col>
      <xdr:colOff>1070212</xdr:colOff>
      <xdr:row>95</xdr:row>
      <xdr:rowOff>1112520</xdr:rowOff>
    </xdr:to>
    <xdr:pic>
      <xdr:nvPicPr>
        <xdr:cNvPr id="2801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130545657"/>
          <a:ext cx="807866" cy="814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96</xdr:row>
      <xdr:rowOff>291518</xdr:rowOff>
    </xdr:from>
    <xdr:to>
      <xdr:col>0</xdr:col>
      <xdr:colOff>1074676</xdr:colOff>
      <xdr:row>96</xdr:row>
      <xdr:rowOff>1112520</xdr:rowOff>
    </xdr:to>
    <xdr:pic>
      <xdr:nvPicPr>
        <xdr:cNvPr id="2801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32063089"/>
          <a:ext cx="827570" cy="821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315686</xdr:colOff>
      <xdr:row>97</xdr:row>
      <xdr:rowOff>296522</xdr:rowOff>
    </xdr:from>
    <xdr:to>
      <xdr:col>0</xdr:col>
      <xdr:colOff>1202368</xdr:colOff>
      <xdr:row>97</xdr:row>
      <xdr:rowOff>1196340</xdr:rowOff>
    </xdr:to>
    <xdr:pic>
      <xdr:nvPicPr>
        <xdr:cNvPr id="2802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686" y="133592093"/>
          <a:ext cx="886682" cy="899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98</xdr:row>
      <xdr:rowOff>283898</xdr:rowOff>
    </xdr:from>
    <xdr:to>
      <xdr:col>0</xdr:col>
      <xdr:colOff>1044196</xdr:colOff>
      <xdr:row>98</xdr:row>
      <xdr:rowOff>1104900</xdr:rowOff>
    </xdr:to>
    <xdr:pic>
      <xdr:nvPicPr>
        <xdr:cNvPr id="2802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35103469"/>
          <a:ext cx="827570" cy="821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99</xdr:row>
      <xdr:rowOff>263654</xdr:rowOff>
    </xdr:from>
    <xdr:to>
      <xdr:col>0</xdr:col>
      <xdr:colOff>1131941</xdr:colOff>
      <xdr:row>99</xdr:row>
      <xdr:rowOff>1005840</xdr:rowOff>
    </xdr:to>
    <xdr:pic>
      <xdr:nvPicPr>
        <xdr:cNvPr id="2802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136607225"/>
          <a:ext cx="945795" cy="7421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100</xdr:row>
      <xdr:rowOff>273122</xdr:rowOff>
    </xdr:from>
    <xdr:to>
      <xdr:col>0</xdr:col>
      <xdr:colOff>1054972</xdr:colOff>
      <xdr:row>100</xdr:row>
      <xdr:rowOff>1074420</xdr:rowOff>
    </xdr:to>
    <xdr:pic>
      <xdr:nvPicPr>
        <xdr:cNvPr id="2802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38140693"/>
          <a:ext cx="807866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101</xdr:row>
      <xdr:rowOff>336698</xdr:rowOff>
    </xdr:from>
    <xdr:to>
      <xdr:col>0</xdr:col>
      <xdr:colOff>1173197</xdr:colOff>
      <xdr:row>101</xdr:row>
      <xdr:rowOff>1059180</xdr:rowOff>
    </xdr:to>
    <xdr:pic>
      <xdr:nvPicPr>
        <xdr:cNvPr id="2802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139728269"/>
          <a:ext cx="926091" cy="722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102</xdr:row>
      <xdr:rowOff>351426</xdr:rowOff>
    </xdr:from>
    <xdr:to>
      <xdr:col>0</xdr:col>
      <xdr:colOff>1230461</xdr:colOff>
      <xdr:row>102</xdr:row>
      <xdr:rowOff>1165860</xdr:rowOff>
    </xdr:to>
    <xdr:pic>
      <xdr:nvPicPr>
        <xdr:cNvPr id="2802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141266997"/>
          <a:ext cx="1044315" cy="8144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55</xdr:row>
      <xdr:rowOff>268146</xdr:rowOff>
    </xdr:from>
    <xdr:to>
      <xdr:col>0</xdr:col>
      <xdr:colOff>1081244</xdr:colOff>
      <xdr:row>55</xdr:row>
      <xdr:rowOff>1181100</xdr:rowOff>
    </xdr:to>
    <xdr:pic>
      <xdr:nvPicPr>
        <xdr:cNvPr id="2802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69555717"/>
          <a:ext cx="834138" cy="912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292826</xdr:colOff>
      <xdr:row>56</xdr:row>
      <xdr:rowOff>284438</xdr:rowOff>
    </xdr:from>
    <xdr:to>
      <xdr:col>0</xdr:col>
      <xdr:colOff>1159804</xdr:colOff>
      <xdr:row>56</xdr:row>
      <xdr:rowOff>1203960</xdr:rowOff>
    </xdr:to>
    <xdr:pic>
      <xdr:nvPicPr>
        <xdr:cNvPr id="2802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6" y="71096009"/>
          <a:ext cx="866978" cy="9195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57</xdr:row>
      <xdr:rowOff>278126</xdr:rowOff>
    </xdr:from>
    <xdr:to>
      <xdr:col>0</xdr:col>
      <xdr:colOff>1080448</xdr:colOff>
      <xdr:row>57</xdr:row>
      <xdr:rowOff>1158240</xdr:rowOff>
    </xdr:to>
    <xdr:pic>
      <xdr:nvPicPr>
        <xdr:cNvPr id="2802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72613697"/>
          <a:ext cx="886682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231866</xdr:colOff>
      <xdr:row>58</xdr:row>
      <xdr:rowOff>338546</xdr:rowOff>
    </xdr:from>
    <xdr:to>
      <xdr:col>0</xdr:col>
      <xdr:colOff>1006892</xdr:colOff>
      <xdr:row>58</xdr:row>
      <xdr:rowOff>1120140</xdr:rowOff>
    </xdr:to>
    <xdr:pic>
      <xdr:nvPicPr>
        <xdr:cNvPr id="2802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866" y="74198117"/>
          <a:ext cx="775026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59</xdr:row>
      <xdr:rowOff>296778</xdr:rowOff>
    </xdr:from>
    <xdr:to>
      <xdr:col>0</xdr:col>
      <xdr:colOff>1028700</xdr:colOff>
      <xdr:row>59</xdr:row>
      <xdr:rowOff>1150620</xdr:rowOff>
    </xdr:to>
    <xdr:pic>
      <xdr:nvPicPr>
        <xdr:cNvPr id="2803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75680349"/>
          <a:ext cx="781594" cy="853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61</xdr:row>
      <xdr:rowOff>302038</xdr:rowOff>
    </xdr:from>
    <xdr:to>
      <xdr:col>0</xdr:col>
      <xdr:colOff>1054972</xdr:colOff>
      <xdr:row>61</xdr:row>
      <xdr:rowOff>1188720</xdr:rowOff>
    </xdr:to>
    <xdr:pic>
      <xdr:nvPicPr>
        <xdr:cNvPr id="2803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78733609"/>
          <a:ext cx="807866" cy="886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179</xdr:row>
      <xdr:rowOff>345708</xdr:rowOff>
    </xdr:from>
    <xdr:to>
      <xdr:col>0</xdr:col>
      <xdr:colOff>1127220</xdr:colOff>
      <xdr:row>180</xdr:row>
      <xdr:rowOff>76199</xdr:rowOff>
    </xdr:to>
    <xdr:pic>
      <xdr:nvPicPr>
        <xdr:cNvPr id="2803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258609279"/>
          <a:ext cx="880114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153</xdr:row>
      <xdr:rowOff>270250</xdr:rowOff>
    </xdr:from>
    <xdr:to>
      <xdr:col>0</xdr:col>
      <xdr:colOff>1186332</xdr:colOff>
      <xdr:row>153</xdr:row>
      <xdr:rowOff>1196340</xdr:rowOff>
    </xdr:to>
    <xdr:pic>
      <xdr:nvPicPr>
        <xdr:cNvPr id="2803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218909821"/>
          <a:ext cx="93922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285206</xdr:colOff>
      <xdr:row>154</xdr:row>
      <xdr:rowOff>290210</xdr:rowOff>
    </xdr:from>
    <xdr:to>
      <xdr:col>0</xdr:col>
      <xdr:colOff>1165320</xdr:colOff>
      <xdr:row>154</xdr:row>
      <xdr:rowOff>1150620</xdr:rowOff>
    </xdr:to>
    <xdr:pic>
      <xdr:nvPicPr>
        <xdr:cNvPr id="2803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206" y="220453781"/>
          <a:ext cx="880114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338546</xdr:colOff>
      <xdr:row>155</xdr:row>
      <xdr:rowOff>295982</xdr:rowOff>
    </xdr:from>
    <xdr:to>
      <xdr:col>0</xdr:col>
      <xdr:colOff>1146412</xdr:colOff>
      <xdr:row>155</xdr:row>
      <xdr:rowOff>1097280</xdr:rowOff>
    </xdr:to>
    <xdr:pic>
      <xdr:nvPicPr>
        <xdr:cNvPr id="2803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546" y="221983553"/>
          <a:ext cx="807866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361406</xdr:colOff>
      <xdr:row>183</xdr:row>
      <xdr:rowOff>366464</xdr:rowOff>
    </xdr:from>
    <xdr:to>
      <xdr:col>0</xdr:col>
      <xdr:colOff>1044480</xdr:colOff>
      <xdr:row>184</xdr:row>
      <xdr:rowOff>83819</xdr:rowOff>
    </xdr:to>
    <xdr:pic>
      <xdr:nvPicPr>
        <xdr:cNvPr id="2803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406" y="264726035"/>
          <a:ext cx="683074" cy="12413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285206</xdr:colOff>
      <xdr:row>157</xdr:row>
      <xdr:rowOff>297830</xdr:rowOff>
    </xdr:from>
    <xdr:to>
      <xdr:col>0</xdr:col>
      <xdr:colOff>1165320</xdr:colOff>
      <xdr:row>157</xdr:row>
      <xdr:rowOff>1158240</xdr:rowOff>
    </xdr:to>
    <xdr:pic>
      <xdr:nvPicPr>
        <xdr:cNvPr id="2803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206" y="225033401"/>
          <a:ext cx="880114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231866</xdr:colOff>
      <xdr:row>158</xdr:row>
      <xdr:rowOff>282334</xdr:rowOff>
    </xdr:from>
    <xdr:to>
      <xdr:col>0</xdr:col>
      <xdr:colOff>1131684</xdr:colOff>
      <xdr:row>158</xdr:row>
      <xdr:rowOff>1188720</xdr:rowOff>
    </xdr:to>
    <xdr:pic>
      <xdr:nvPicPr>
        <xdr:cNvPr id="2803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866" y="226541905"/>
          <a:ext cx="899818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315686</xdr:colOff>
      <xdr:row>159</xdr:row>
      <xdr:rowOff>250802</xdr:rowOff>
    </xdr:from>
    <xdr:to>
      <xdr:col>0</xdr:col>
      <xdr:colOff>1156392</xdr:colOff>
      <xdr:row>159</xdr:row>
      <xdr:rowOff>1150620</xdr:rowOff>
    </xdr:to>
    <xdr:pic>
      <xdr:nvPicPr>
        <xdr:cNvPr id="2803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686" y="228034373"/>
          <a:ext cx="840706" cy="8998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269966</xdr:colOff>
      <xdr:row>161</xdr:row>
      <xdr:rowOff>297830</xdr:rowOff>
    </xdr:from>
    <xdr:to>
      <xdr:col>0</xdr:col>
      <xdr:colOff>1136944</xdr:colOff>
      <xdr:row>161</xdr:row>
      <xdr:rowOff>1158240</xdr:rowOff>
    </xdr:to>
    <xdr:pic>
      <xdr:nvPicPr>
        <xdr:cNvPr id="2804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966" y="231129401"/>
          <a:ext cx="866978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162</xdr:row>
      <xdr:rowOff>248698</xdr:rowOff>
    </xdr:from>
    <xdr:to>
      <xdr:col>0</xdr:col>
      <xdr:colOff>1096740</xdr:colOff>
      <xdr:row>162</xdr:row>
      <xdr:rowOff>1135380</xdr:rowOff>
    </xdr:to>
    <xdr:pic>
      <xdr:nvPicPr>
        <xdr:cNvPr id="2804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232604269"/>
          <a:ext cx="880114" cy="886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338546</xdr:colOff>
      <xdr:row>163</xdr:row>
      <xdr:rowOff>283642</xdr:rowOff>
    </xdr:from>
    <xdr:to>
      <xdr:col>0</xdr:col>
      <xdr:colOff>1041324</xdr:colOff>
      <xdr:row>163</xdr:row>
      <xdr:rowOff>1150620</xdr:rowOff>
    </xdr:to>
    <xdr:pic>
      <xdr:nvPicPr>
        <xdr:cNvPr id="2804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546" y="234163213"/>
          <a:ext cx="702778" cy="866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164</xdr:row>
      <xdr:rowOff>256574</xdr:rowOff>
    </xdr:from>
    <xdr:to>
      <xdr:col>0</xdr:col>
      <xdr:colOff>1087812</xdr:colOff>
      <xdr:row>164</xdr:row>
      <xdr:rowOff>1097280</xdr:rowOff>
    </xdr:to>
    <xdr:pic>
      <xdr:nvPicPr>
        <xdr:cNvPr id="2804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235660145"/>
          <a:ext cx="840706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163286</xdr:colOff>
      <xdr:row>165</xdr:row>
      <xdr:rowOff>346678</xdr:rowOff>
    </xdr:from>
    <xdr:to>
      <xdr:col>0</xdr:col>
      <xdr:colOff>1260145</xdr:colOff>
      <xdr:row>165</xdr:row>
      <xdr:rowOff>1036320</xdr:rowOff>
    </xdr:to>
    <xdr:pic>
      <xdr:nvPicPr>
        <xdr:cNvPr id="2804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237274249"/>
          <a:ext cx="1096859" cy="689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155666</xdr:colOff>
      <xdr:row>166</xdr:row>
      <xdr:rowOff>460950</xdr:rowOff>
    </xdr:from>
    <xdr:to>
      <xdr:col>0</xdr:col>
      <xdr:colOff>1272228</xdr:colOff>
      <xdr:row>166</xdr:row>
      <xdr:rowOff>960119</xdr:rowOff>
    </xdr:to>
    <xdr:pic>
      <xdr:nvPicPr>
        <xdr:cNvPr id="28045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66" y="238912521"/>
          <a:ext cx="1116562" cy="4991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167</xdr:row>
      <xdr:rowOff>508490</xdr:rowOff>
    </xdr:from>
    <xdr:to>
      <xdr:col>0</xdr:col>
      <xdr:colOff>1263301</xdr:colOff>
      <xdr:row>167</xdr:row>
      <xdr:rowOff>876299</xdr:rowOff>
    </xdr:to>
    <xdr:pic>
      <xdr:nvPicPr>
        <xdr:cNvPr id="28046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240484061"/>
          <a:ext cx="1077155" cy="3678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119</xdr:row>
      <xdr:rowOff>262886</xdr:rowOff>
    </xdr:from>
    <xdr:to>
      <xdr:col>0</xdr:col>
      <xdr:colOff>1096740</xdr:colOff>
      <xdr:row>119</xdr:row>
      <xdr:rowOff>1143000</xdr:rowOff>
    </xdr:to>
    <xdr:pic>
      <xdr:nvPicPr>
        <xdr:cNvPr id="28047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67086457"/>
          <a:ext cx="880114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262346</xdr:colOff>
      <xdr:row>120</xdr:row>
      <xdr:rowOff>283898</xdr:rowOff>
    </xdr:from>
    <xdr:to>
      <xdr:col>0</xdr:col>
      <xdr:colOff>1103052</xdr:colOff>
      <xdr:row>120</xdr:row>
      <xdr:rowOff>1104900</xdr:rowOff>
    </xdr:to>
    <xdr:pic>
      <xdr:nvPicPr>
        <xdr:cNvPr id="28048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346" y="168631469"/>
          <a:ext cx="840706" cy="8210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285206</xdr:colOff>
      <xdr:row>121</xdr:row>
      <xdr:rowOff>341702</xdr:rowOff>
    </xdr:from>
    <xdr:to>
      <xdr:col>0</xdr:col>
      <xdr:colOff>1086504</xdr:colOff>
      <xdr:row>121</xdr:row>
      <xdr:rowOff>1143000</xdr:rowOff>
    </xdr:to>
    <xdr:pic>
      <xdr:nvPicPr>
        <xdr:cNvPr id="28049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206" y="170213273"/>
          <a:ext cx="801298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292826</xdr:colOff>
      <xdr:row>122</xdr:row>
      <xdr:rowOff>303602</xdr:rowOff>
    </xdr:from>
    <xdr:to>
      <xdr:col>0</xdr:col>
      <xdr:colOff>1113828</xdr:colOff>
      <xdr:row>122</xdr:row>
      <xdr:rowOff>1104900</xdr:rowOff>
    </xdr:to>
    <xdr:pic>
      <xdr:nvPicPr>
        <xdr:cNvPr id="28050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6" y="171699173"/>
          <a:ext cx="821002" cy="8012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123</xdr:row>
      <xdr:rowOff>331438</xdr:rowOff>
    </xdr:from>
    <xdr:to>
      <xdr:col>0</xdr:col>
      <xdr:colOff>1195261</xdr:colOff>
      <xdr:row>123</xdr:row>
      <xdr:rowOff>1021080</xdr:rowOff>
    </xdr:to>
    <xdr:pic>
      <xdr:nvPicPr>
        <xdr:cNvPr id="28051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73251009"/>
          <a:ext cx="978635" cy="689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155666</xdr:colOff>
      <xdr:row>124</xdr:row>
      <xdr:rowOff>297290</xdr:rowOff>
    </xdr:from>
    <xdr:to>
      <xdr:col>0</xdr:col>
      <xdr:colOff>1219685</xdr:colOff>
      <xdr:row>124</xdr:row>
      <xdr:rowOff>1059180</xdr:rowOff>
    </xdr:to>
    <xdr:pic>
      <xdr:nvPicPr>
        <xdr:cNvPr id="28052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66" y="174740861"/>
          <a:ext cx="1064019" cy="761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323306</xdr:colOff>
      <xdr:row>125</xdr:row>
      <xdr:rowOff>263938</xdr:rowOff>
    </xdr:from>
    <xdr:to>
      <xdr:col>0</xdr:col>
      <xdr:colOff>1104900</xdr:colOff>
      <xdr:row>125</xdr:row>
      <xdr:rowOff>1150620</xdr:rowOff>
    </xdr:to>
    <xdr:pic>
      <xdr:nvPicPr>
        <xdr:cNvPr id="28053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06" y="176231509"/>
          <a:ext cx="781594" cy="886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126</xdr:row>
      <xdr:rowOff>337494</xdr:rowOff>
    </xdr:from>
    <xdr:to>
      <xdr:col>0</xdr:col>
      <xdr:colOff>1144024</xdr:colOff>
      <xdr:row>126</xdr:row>
      <xdr:rowOff>1112520</xdr:rowOff>
    </xdr:to>
    <xdr:pic>
      <xdr:nvPicPr>
        <xdr:cNvPr id="28054" name="Имя " descr="Descr "/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177829065"/>
          <a:ext cx="965498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125186</xdr:colOff>
      <xdr:row>309</xdr:row>
      <xdr:rowOff>263682</xdr:rowOff>
    </xdr:from>
    <xdr:to>
      <xdr:col>0</xdr:col>
      <xdr:colOff>1090684</xdr:colOff>
      <xdr:row>309</xdr:row>
      <xdr:rowOff>1196340</xdr:rowOff>
    </xdr:to>
    <xdr:pic>
      <xdr:nvPicPr>
        <xdr:cNvPr id="28055" name="Рисунок 222"/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86" y="456647253"/>
          <a:ext cx="965498" cy="932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323</xdr:row>
      <xdr:rowOff>255010</xdr:rowOff>
    </xdr:from>
    <xdr:to>
      <xdr:col>0</xdr:col>
      <xdr:colOff>1033932</xdr:colOff>
      <xdr:row>323</xdr:row>
      <xdr:rowOff>1181100</xdr:rowOff>
    </xdr:to>
    <xdr:pic>
      <xdr:nvPicPr>
        <xdr:cNvPr id="28056" name="Рисунок 224"/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477974581"/>
          <a:ext cx="93922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354</xdr:row>
      <xdr:rowOff>247646</xdr:rowOff>
    </xdr:from>
    <xdr:to>
      <xdr:col>0</xdr:col>
      <xdr:colOff>1103308</xdr:colOff>
      <xdr:row>354</xdr:row>
      <xdr:rowOff>1127760</xdr:rowOff>
    </xdr:to>
    <xdr:pic>
      <xdr:nvPicPr>
        <xdr:cNvPr id="28057" name="Рисунок 225"/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525211217"/>
          <a:ext cx="886682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355</xdr:row>
      <xdr:rowOff>391684</xdr:rowOff>
    </xdr:from>
    <xdr:to>
      <xdr:col>0</xdr:col>
      <xdr:colOff>1103308</xdr:colOff>
      <xdr:row>356</xdr:row>
      <xdr:rowOff>76199</xdr:rowOff>
    </xdr:to>
    <xdr:pic>
      <xdr:nvPicPr>
        <xdr:cNvPr id="28058" name="Рисунок 226"/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526879255"/>
          <a:ext cx="886682" cy="1208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224246</xdr:colOff>
      <xdr:row>357</xdr:row>
      <xdr:rowOff>278126</xdr:rowOff>
    </xdr:from>
    <xdr:to>
      <xdr:col>0</xdr:col>
      <xdr:colOff>1110928</xdr:colOff>
      <xdr:row>357</xdr:row>
      <xdr:rowOff>1158240</xdr:rowOff>
    </xdr:to>
    <xdr:pic>
      <xdr:nvPicPr>
        <xdr:cNvPr id="28059" name="Рисунок 227"/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46" y="529813697"/>
          <a:ext cx="886682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338546</xdr:colOff>
      <xdr:row>332</xdr:row>
      <xdr:rowOff>444531</xdr:rowOff>
    </xdr:from>
    <xdr:to>
      <xdr:col>0</xdr:col>
      <xdr:colOff>1284340</xdr:colOff>
      <xdr:row>332</xdr:row>
      <xdr:rowOff>1350917</xdr:rowOff>
    </xdr:to>
    <xdr:pic>
      <xdr:nvPicPr>
        <xdr:cNvPr id="28060" name="Рисунок 228"/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546" y="491880102"/>
          <a:ext cx="945794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330</xdr:row>
      <xdr:rowOff>224530</xdr:rowOff>
    </xdr:from>
    <xdr:to>
      <xdr:col>0</xdr:col>
      <xdr:colOff>1059152</xdr:colOff>
      <xdr:row>330</xdr:row>
      <xdr:rowOff>1150620</xdr:rowOff>
    </xdr:to>
    <xdr:pic>
      <xdr:nvPicPr>
        <xdr:cNvPr id="28061" name="Рисунок 229"/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88612101"/>
          <a:ext cx="97206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331</xdr:row>
      <xdr:rowOff>224530</xdr:rowOff>
    </xdr:from>
    <xdr:to>
      <xdr:col>0</xdr:col>
      <xdr:colOff>1059152</xdr:colOff>
      <xdr:row>331</xdr:row>
      <xdr:rowOff>1150620</xdr:rowOff>
    </xdr:to>
    <xdr:pic>
      <xdr:nvPicPr>
        <xdr:cNvPr id="28062" name="Рисунок 230"/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90136101"/>
          <a:ext cx="97206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185058</xdr:colOff>
      <xdr:row>333</xdr:row>
      <xdr:rowOff>474902</xdr:rowOff>
    </xdr:from>
    <xdr:to>
      <xdr:col>0</xdr:col>
      <xdr:colOff>1157124</xdr:colOff>
      <xdr:row>333</xdr:row>
      <xdr:rowOff>1400992</xdr:rowOff>
    </xdr:to>
    <xdr:pic>
      <xdr:nvPicPr>
        <xdr:cNvPr id="28063" name="Рисунок 231"/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058" y="493434473"/>
          <a:ext cx="97206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152401</xdr:colOff>
      <xdr:row>334</xdr:row>
      <xdr:rowOff>366044</xdr:rowOff>
    </xdr:from>
    <xdr:to>
      <xdr:col>0</xdr:col>
      <xdr:colOff>1124467</xdr:colOff>
      <xdr:row>334</xdr:row>
      <xdr:rowOff>1292134</xdr:rowOff>
    </xdr:to>
    <xdr:pic>
      <xdr:nvPicPr>
        <xdr:cNvPr id="28064" name="Рисунок 232"/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494849615"/>
          <a:ext cx="97206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335</xdr:row>
      <xdr:rowOff>224530</xdr:rowOff>
    </xdr:from>
    <xdr:to>
      <xdr:col>0</xdr:col>
      <xdr:colOff>1059152</xdr:colOff>
      <xdr:row>335</xdr:row>
      <xdr:rowOff>1150620</xdr:rowOff>
    </xdr:to>
    <xdr:pic>
      <xdr:nvPicPr>
        <xdr:cNvPr id="28065" name="Рисунок 233"/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96232101"/>
          <a:ext cx="972066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311</xdr:row>
      <xdr:rowOff>224530</xdr:rowOff>
    </xdr:from>
    <xdr:to>
      <xdr:col>0</xdr:col>
      <xdr:colOff>1052584</xdr:colOff>
      <xdr:row>311</xdr:row>
      <xdr:rowOff>1150620</xdr:rowOff>
    </xdr:to>
    <xdr:pic>
      <xdr:nvPicPr>
        <xdr:cNvPr id="28066" name="Рисунок 234"/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59656101"/>
          <a:ext cx="965498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312</xdr:row>
      <xdr:rowOff>224530</xdr:rowOff>
    </xdr:from>
    <xdr:to>
      <xdr:col>0</xdr:col>
      <xdr:colOff>1052584</xdr:colOff>
      <xdr:row>312</xdr:row>
      <xdr:rowOff>1150620</xdr:rowOff>
    </xdr:to>
    <xdr:pic>
      <xdr:nvPicPr>
        <xdr:cNvPr id="28067" name="Рисунок 235"/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61180101"/>
          <a:ext cx="965498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313</xdr:row>
      <xdr:rowOff>224530</xdr:rowOff>
    </xdr:from>
    <xdr:to>
      <xdr:col>0</xdr:col>
      <xdr:colOff>1052584</xdr:colOff>
      <xdr:row>313</xdr:row>
      <xdr:rowOff>1150620</xdr:rowOff>
    </xdr:to>
    <xdr:pic>
      <xdr:nvPicPr>
        <xdr:cNvPr id="28068" name="Рисунок 236"/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62704101"/>
          <a:ext cx="965498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314</xdr:row>
      <xdr:rowOff>224530</xdr:rowOff>
    </xdr:from>
    <xdr:to>
      <xdr:col>0</xdr:col>
      <xdr:colOff>1052584</xdr:colOff>
      <xdr:row>314</xdr:row>
      <xdr:rowOff>1150620</xdr:rowOff>
    </xdr:to>
    <xdr:pic>
      <xdr:nvPicPr>
        <xdr:cNvPr id="28069" name="Рисунок 237"/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64228101"/>
          <a:ext cx="965498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310</xdr:row>
      <xdr:rowOff>224530</xdr:rowOff>
    </xdr:from>
    <xdr:to>
      <xdr:col>0</xdr:col>
      <xdr:colOff>1052584</xdr:colOff>
      <xdr:row>310</xdr:row>
      <xdr:rowOff>1150620</xdr:rowOff>
    </xdr:to>
    <xdr:pic>
      <xdr:nvPicPr>
        <xdr:cNvPr id="28070" name="Рисунок 239"/>
        <xdr:cNvPicPr>
          <a:picLocks noChangeAspect="1" noChangeArrowheads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58132101"/>
          <a:ext cx="965498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318</xdr:row>
      <xdr:rowOff>228738</xdr:rowOff>
    </xdr:from>
    <xdr:to>
      <xdr:col>0</xdr:col>
      <xdr:colOff>1039448</xdr:colOff>
      <xdr:row>318</xdr:row>
      <xdr:rowOff>1181100</xdr:rowOff>
    </xdr:to>
    <xdr:pic>
      <xdr:nvPicPr>
        <xdr:cNvPr id="28071" name="Рисунок 240"/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70328309"/>
          <a:ext cx="952362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319</xdr:row>
      <xdr:rowOff>228738</xdr:rowOff>
    </xdr:from>
    <xdr:to>
      <xdr:col>0</xdr:col>
      <xdr:colOff>1039448</xdr:colOff>
      <xdr:row>319</xdr:row>
      <xdr:rowOff>1181100</xdr:rowOff>
    </xdr:to>
    <xdr:pic>
      <xdr:nvPicPr>
        <xdr:cNvPr id="28072" name="Рисунок 241"/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71852309"/>
          <a:ext cx="952362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320</xdr:row>
      <xdr:rowOff>228738</xdr:rowOff>
    </xdr:from>
    <xdr:to>
      <xdr:col>0</xdr:col>
      <xdr:colOff>1039448</xdr:colOff>
      <xdr:row>320</xdr:row>
      <xdr:rowOff>1181100</xdr:rowOff>
    </xdr:to>
    <xdr:pic>
      <xdr:nvPicPr>
        <xdr:cNvPr id="28073" name="Рисунок 242"/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73376309"/>
          <a:ext cx="952362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321</xdr:row>
      <xdr:rowOff>228738</xdr:rowOff>
    </xdr:from>
    <xdr:to>
      <xdr:col>0</xdr:col>
      <xdr:colOff>1039448</xdr:colOff>
      <xdr:row>321</xdr:row>
      <xdr:rowOff>1181100</xdr:rowOff>
    </xdr:to>
    <xdr:pic>
      <xdr:nvPicPr>
        <xdr:cNvPr id="28074" name="Рисунок 243"/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74900309"/>
          <a:ext cx="952362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324</xdr:row>
      <xdr:rowOff>224530</xdr:rowOff>
    </xdr:from>
    <xdr:to>
      <xdr:col>0</xdr:col>
      <xdr:colOff>1013176</xdr:colOff>
      <xdr:row>324</xdr:row>
      <xdr:rowOff>1150620</xdr:rowOff>
    </xdr:to>
    <xdr:pic>
      <xdr:nvPicPr>
        <xdr:cNvPr id="28075" name="Рисунок 244"/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79468101"/>
          <a:ext cx="926090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325</xdr:row>
      <xdr:rowOff>224530</xdr:rowOff>
    </xdr:from>
    <xdr:to>
      <xdr:col>0</xdr:col>
      <xdr:colOff>1013176</xdr:colOff>
      <xdr:row>325</xdr:row>
      <xdr:rowOff>1150620</xdr:rowOff>
    </xdr:to>
    <xdr:pic>
      <xdr:nvPicPr>
        <xdr:cNvPr id="28076" name="Рисунок 245"/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80992101"/>
          <a:ext cx="926090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326</xdr:row>
      <xdr:rowOff>224530</xdr:rowOff>
    </xdr:from>
    <xdr:to>
      <xdr:col>0</xdr:col>
      <xdr:colOff>1013176</xdr:colOff>
      <xdr:row>326</xdr:row>
      <xdr:rowOff>1150620</xdr:rowOff>
    </xdr:to>
    <xdr:pic>
      <xdr:nvPicPr>
        <xdr:cNvPr id="28077" name="Рисунок 246"/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82516101"/>
          <a:ext cx="926090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327</xdr:row>
      <xdr:rowOff>224530</xdr:rowOff>
    </xdr:from>
    <xdr:to>
      <xdr:col>0</xdr:col>
      <xdr:colOff>1013176</xdr:colOff>
      <xdr:row>327</xdr:row>
      <xdr:rowOff>1150620</xdr:rowOff>
    </xdr:to>
    <xdr:pic>
      <xdr:nvPicPr>
        <xdr:cNvPr id="28078" name="Рисунок 247"/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84040101"/>
          <a:ext cx="926090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328</xdr:row>
      <xdr:rowOff>224530</xdr:rowOff>
    </xdr:from>
    <xdr:to>
      <xdr:col>0</xdr:col>
      <xdr:colOff>1013176</xdr:colOff>
      <xdr:row>328</xdr:row>
      <xdr:rowOff>1150620</xdr:rowOff>
    </xdr:to>
    <xdr:pic>
      <xdr:nvPicPr>
        <xdr:cNvPr id="28079" name="Рисунок 248"/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85564101"/>
          <a:ext cx="926090" cy="926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337</xdr:row>
      <xdr:rowOff>214010</xdr:rowOff>
    </xdr:from>
    <xdr:to>
      <xdr:col>0</xdr:col>
      <xdr:colOff>947496</xdr:colOff>
      <xdr:row>337</xdr:row>
      <xdr:rowOff>1074420</xdr:rowOff>
    </xdr:to>
    <xdr:pic>
      <xdr:nvPicPr>
        <xdr:cNvPr id="28080" name="Рисунок 249"/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99269581"/>
          <a:ext cx="860410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163286</xdr:colOff>
      <xdr:row>338</xdr:row>
      <xdr:rowOff>562353</xdr:rowOff>
    </xdr:from>
    <xdr:to>
      <xdr:col>0</xdr:col>
      <xdr:colOff>1023696</xdr:colOff>
      <xdr:row>338</xdr:row>
      <xdr:rowOff>1422763</xdr:rowOff>
    </xdr:to>
    <xdr:pic>
      <xdr:nvPicPr>
        <xdr:cNvPr id="28081" name="Рисунок 250"/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501141924"/>
          <a:ext cx="860410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152400</xdr:colOff>
      <xdr:row>339</xdr:row>
      <xdr:rowOff>366410</xdr:rowOff>
    </xdr:from>
    <xdr:to>
      <xdr:col>0</xdr:col>
      <xdr:colOff>1012810</xdr:colOff>
      <xdr:row>339</xdr:row>
      <xdr:rowOff>1226820</xdr:rowOff>
    </xdr:to>
    <xdr:pic>
      <xdr:nvPicPr>
        <xdr:cNvPr id="28082" name="Рисунок 251"/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02469981"/>
          <a:ext cx="860410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340</xdr:row>
      <xdr:rowOff>214010</xdr:rowOff>
    </xdr:from>
    <xdr:to>
      <xdr:col>0</xdr:col>
      <xdr:colOff>947496</xdr:colOff>
      <xdr:row>340</xdr:row>
      <xdr:rowOff>1074420</xdr:rowOff>
    </xdr:to>
    <xdr:pic>
      <xdr:nvPicPr>
        <xdr:cNvPr id="28083" name="Рисунок 252"/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03841581"/>
          <a:ext cx="860410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341</xdr:row>
      <xdr:rowOff>214010</xdr:rowOff>
    </xdr:from>
    <xdr:to>
      <xdr:col>0</xdr:col>
      <xdr:colOff>947496</xdr:colOff>
      <xdr:row>341</xdr:row>
      <xdr:rowOff>1074420</xdr:rowOff>
    </xdr:to>
    <xdr:pic>
      <xdr:nvPicPr>
        <xdr:cNvPr id="28084" name="Рисунок 253"/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05365581"/>
          <a:ext cx="860410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343</xdr:row>
      <xdr:rowOff>214010</xdr:rowOff>
    </xdr:from>
    <xdr:to>
      <xdr:col>0</xdr:col>
      <xdr:colOff>947496</xdr:colOff>
      <xdr:row>343</xdr:row>
      <xdr:rowOff>1074420</xdr:rowOff>
    </xdr:to>
    <xdr:pic>
      <xdr:nvPicPr>
        <xdr:cNvPr id="28085" name="Рисунок 254"/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08413581"/>
          <a:ext cx="860410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344</xdr:row>
      <xdr:rowOff>210854</xdr:rowOff>
    </xdr:from>
    <xdr:to>
      <xdr:col>0</xdr:col>
      <xdr:colOff>927792</xdr:colOff>
      <xdr:row>344</xdr:row>
      <xdr:rowOff>1051560</xdr:rowOff>
    </xdr:to>
    <xdr:pic>
      <xdr:nvPicPr>
        <xdr:cNvPr id="28086" name="Рисунок 255"/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09934425"/>
          <a:ext cx="840706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345</xdr:row>
      <xdr:rowOff>210854</xdr:rowOff>
    </xdr:from>
    <xdr:to>
      <xdr:col>0</xdr:col>
      <xdr:colOff>927792</xdr:colOff>
      <xdr:row>345</xdr:row>
      <xdr:rowOff>1051560</xdr:rowOff>
    </xdr:to>
    <xdr:pic>
      <xdr:nvPicPr>
        <xdr:cNvPr id="28087" name="Рисунок 256"/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11458425"/>
          <a:ext cx="840706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346</xdr:row>
      <xdr:rowOff>210854</xdr:rowOff>
    </xdr:from>
    <xdr:to>
      <xdr:col>0</xdr:col>
      <xdr:colOff>927792</xdr:colOff>
      <xdr:row>346</xdr:row>
      <xdr:rowOff>1051560</xdr:rowOff>
    </xdr:to>
    <xdr:pic>
      <xdr:nvPicPr>
        <xdr:cNvPr id="28088" name="Рисунок 257"/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12982425"/>
          <a:ext cx="840706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347</xdr:row>
      <xdr:rowOff>210854</xdr:rowOff>
    </xdr:from>
    <xdr:to>
      <xdr:col>0</xdr:col>
      <xdr:colOff>927792</xdr:colOff>
      <xdr:row>347</xdr:row>
      <xdr:rowOff>1051560</xdr:rowOff>
    </xdr:to>
    <xdr:pic>
      <xdr:nvPicPr>
        <xdr:cNvPr id="28089" name="Рисунок 258"/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14506425"/>
          <a:ext cx="840706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348</xdr:row>
      <xdr:rowOff>210854</xdr:rowOff>
    </xdr:from>
    <xdr:to>
      <xdr:col>0</xdr:col>
      <xdr:colOff>927792</xdr:colOff>
      <xdr:row>348</xdr:row>
      <xdr:rowOff>1051560</xdr:rowOff>
    </xdr:to>
    <xdr:pic>
      <xdr:nvPicPr>
        <xdr:cNvPr id="28090" name="Рисунок 259"/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16030425"/>
          <a:ext cx="840706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350</xdr:row>
      <xdr:rowOff>217166</xdr:rowOff>
    </xdr:from>
    <xdr:to>
      <xdr:col>0</xdr:col>
      <xdr:colOff>967200</xdr:colOff>
      <xdr:row>350</xdr:row>
      <xdr:rowOff>1097280</xdr:rowOff>
    </xdr:to>
    <xdr:pic>
      <xdr:nvPicPr>
        <xdr:cNvPr id="28091" name="Рисунок 260"/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19084737"/>
          <a:ext cx="880114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351</xdr:row>
      <xdr:rowOff>217166</xdr:rowOff>
    </xdr:from>
    <xdr:to>
      <xdr:col>0</xdr:col>
      <xdr:colOff>967200</xdr:colOff>
      <xdr:row>351</xdr:row>
      <xdr:rowOff>1097280</xdr:rowOff>
    </xdr:to>
    <xdr:pic>
      <xdr:nvPicPr>
        <xdr:cNvPr id="28092" name="Рисунок 261"/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20608737"/>
          <a:ext cx="880114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352</xdr:row>
      <xdr:rowOff>217166</xdr:rowOff>
    </xdr:from>
    <xdr:to>
      <xdr:col>0</xdr:col>
      <xdr:colOff>967200</xdr:colOff>
      <xdr:row>352</xdr:row>
      <xdr:rowOff>1097280</xdr:rowOff>
    </xdr:to>
    <xdr:pic>
      <xdr:nvPicPr>
        <xdr:cNvPr id="28093" name="Рисунок 262"/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22132737"/>
          <a:ext cx="880114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119743</xdr:colOff>
      <xdr:row>361</xdr:row>
      <xdr:rowOff>373774</xdr:rowOff>
    </xdr:from>
    <xdr:to>
      <xdr:col>0</xdr:col>
      <xdr:colOff>1019561</xdr:colOff>
      <xdr:row>361</xdr:row>
      <xdr:rowOff>1280160</xdr:rowOff>
    </xdr:to>
    <xdr:pic>
      <xdr:nvPicPr>
        <xdr:cNvPr id="28094" name="Рисунок 263"/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43" y="536005345"/>
          <a:ext cx="899818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141515</xdr:colOff>
      <xdr:row>362</xdr:row>
      <xdr:rowOff>460859</xdr:rowOff>
    </xdr:from>
    <xdr:to>
      <xdr:col>0</xdr:col>
      <xdr:colOff>1041333</xdr:colOff>
      <xdr:row>362</xdr:row>
      <xdr:rowOff>1367245</xdr:rowOff>
    </xdr:to>
    <xdr:pic>
      <xdr:nvPicPr>
        <xdr:cNvPr id="28095" name="Рисунок 264"/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515" y="537616430"/>
          <a:ext cx="899818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239486</xdr:colOff>
      <xdr:row>363</xdr:row>
      <xdr:rowOff>439088</xdr:rowOff>
    </xdr:from>
    <xdr:to>
      <xdr:col>0</xdr:col>
      <xdr:colOff>1139304</xdr:colOff>
      <xdr:row>363</xdr:row>
      <xdr:rowOff>1345474</xdr:rowOff>
    </xdr:to>
    <xdr:pic>
      <xdr:nvPicPr>
        <xdr:cNvPr id="28096" name="Рисунок 265"/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486" y="539118659"/>
          <a:ext cx="899818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316</xdr:row>
      <xdr:rowOff>228738</xdr:rowOff>
    </xdr:from>
    <xdr:to>
      <xdr:col>0</xdr:col>
      <xdr:colOff>1039448</xdr:colOff>
      <xdr:row>316</xdr:row>
      <xdr:rowOff>1181100</xdr:rowOff>
    </xdr:to>
    <xdr:pic>
      <xdr:nvPicPr>
        <xdr:cNvPr id="28097" name="Рисунок 53"/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67280309"/>
          <a:ext cx="952362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317</xdr:row>
      <xdr:rowOff>228738</xdr:rowOff>
    </xdr:from>
    <xdr:to>
      <xdr:col>0</xdr:col>
      <xdr:colOff>1039448</xdr:colOff>
      <xdr:row>317</xdr:row>
      <xdr:rowOff>1181100</xdr:rowOff>
    </xdr:to>
    <xdr:pic>
      <xdr:nvPicPr>
        <xdr:cNvPr id="28098" name="Рисунок 54"/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68804309"/>
          <a:ext cx="952362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168</xdr:row>
      <xdr:rowOff>269966</xdr:rowOff>
    </xdr:from>
    <xdr:to>
      <xdr:col>0</xdr:col>
      <xdr:colOff>1290085</xdr:colOff>
      <xdr:row>168</xdr:row>
      <xdr:rowOff>1051560</xdr:rowOff>
    </xdr:to>
    <xdr:pic>
      <xdr:nvPicPr>
        <xdr:cNvPr id="28099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241769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169</xdr:row>
      <xdr:rowOff>284154</xdr:rowOff>
    </xdr:from>
    <xdr:to>
      <xdr:col>0</xdr:col>
      <xdr:colOff>1290085</xdr:colOff>
      <xdr:row>169</xdr:row>
      <xdr:rowOff>1059180</xdr:rowOff>
    </xdr:to>
    <xdr:pic>
      <xdr:nvPicPr>
        <xdr:cNvPr id="28100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243307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171</xdr:row>
      <xdr:rowOff>269966</xdr:rowOff>
    </xdr:from>
    <xdr:to>
      <xdr:col>0</xdr:col>
      <xdr:colOff>1282465</xdr:colOff>
      <xdr:row>171</xdr:row>
      <xdr:rowOff>1051560</xdr:rowOff>
    </xdr:to>
    <xdr:pic>
      <xdr:nvPicPr>
        <xdr:cNvPr id="28101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46341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170</xdr:row>
      <xdr:rowOff>291774</xdr:rowOff>
    </xdr:from>
    <xdr:to>
      <xdr:col>0</xdr:col>
      <xdr:colOff>1282465</xdr:colOff>
      <xdr:row>170</xdr:row>
      <xdr:rowOff>1066800</xdr:rowOff>
    </xdr:to>
    <xdr:pic>
      <xdr:nvPicPr>
        <xdr:cNvPr id="28102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44839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172</xdr:row>
      <xdr:rowOff>352734</xdr:rowOff>
    </xdr:from>
    <xdr:to>
      <xdr:col>0</xdr:col>
      <xdr:colOff>1282465</xdr:colOff>
      <xdr:row>172</xdr:row>
      <xdr:rowOff>1127760</xdr:rowOff>
    </xdr:to>
    <xdr:pic>
      <xdr:nvPicPr>
        <xdr:cNvPr id="28103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4794830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173</xdr:row>
      <xdr:rowOff>322254</xdr:rowOff>
    </xdr:from>
    <xdr:to>
      <xdr:col>0</xdr:col>
      <xdr:colOff>1282465</xdr:colOff>
      <xdr:row>173</xdr:row>
      <xdr:rowOff>1097280</xdr:rowOff>
    </xdr:to>
    <xdr:pic>
      <xdr:nvPicPr>
        <xdr:cNvPr id="28104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494418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391886</xdr:colOff>
      <xdr:row>174</xdr:row>
      <xdr:rowOff>391684</xdr:rowOff>
    </xdr:from>
    <xdr:to>
      <xdr:col>0</xdr:col>
      <xdr:colOff>996144</xdr:colOff>
      <xdr:row>175</xdr:row>
      <xdr:rowOff>76199</xdr:rowOff>
    </xdr:to>
    <xdr:pic>
      <xdr:nvPicPr>
        <xdr:cNvPr id="28105" name="Рисунок 16"/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6" y="251035255"/>
          <a:ext cx="604258" cy="1208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175</xdr:row>
      <xdr:rowOff>291774</xdr:rowOff>
    </xdr:from>
    <xdr:to>
      <xdr:col>0</xdr:col>
      <xdr:colOff>1290085</xdr:colOff>
      <xdr:row>175</xdr:row>
      <xdr:rowOff>1066800</xdr:rowOff>
    </xdr:to>
    <xdr:pic>
      <xdr:nvPicPr>
        <xdr:cNvPr id="28106" name="Рисунок 18"/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252459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176</xdr:row>
      <xdr:rowOff>291774</xdr:rowOff>
    </xdr:from>
    <xdr:to>
      <xdr:col>0</xdr:col>
      <xdr:colOff>1282465</xdr:colOff>
      <xdr:row>176</xdr:row>
      <xdr:rowOff>1066800</xdr:rowOff>
    </xdr:to>
    <xdr:pic>
      <xdr:nvPicPr>
        <xdr:cNvPr id="28107" name="Рисунок 20"/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53983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177</xdr:row>
      <xdr:rowOff>291774</xdr:rowOff>
    </xdr:from>
    <xdr:to>
      <xdr:col>0</xdr:col>
      <xdr:colOff>1282465</xdr:colOff>
      <xdr:row>177</xdr:row>
      <xdr:rowOff>1066800</xdr:rowOff>
    </xdr:to>
    <xdr:pic>
      <xdr:nvPicPr>
        <xdr:cNvPr id="28108" name="Рисунок 22"/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55507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178</xdr:row>
      <xdr:rowOff>269966</xdr:rowOff>
    </xdr:from>
    <xdr:to>
      <xdr:col>0</xdr:col>
      <xdr:colOff>1282465</xdr:colOff>
      <xdr:row>178</xdr:row>
      <xdr:rowOff>1051560</xdr:rowOff>
    </xdr:to>
    <xdr:pic>
      <xdr:nvPicPr>
        <xdr:cNvPr id="28109" name="Рисунок 24"/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57009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179</xdr:row>
      <xdr:rowOff>291774</xdr:rowOff>
    </xdr:from>
    <xdr:to>
      <xdr:col>0</xdr:col>
      <xdr:colOff>1282465</xdr:colOff>
      <xdr:row>179</xdr:row>
      <xdr:rowOff>1066800</xdr:rowOff>
    </xdr:to>
    <xdr:pic>
      <xdr:nvPicPr>
        <xdr:cNvPr id="28110" name="Рисунок 26"/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58555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452846</xdr:colOff>
      <xdr:row>180</xdr:row>
      <xdr:rowOff>300446</xdr:rowOff>
    </xdr:from>
    <xdr:to>
      <xdr:col>0</xdr:col>
      <xdr:colOff>984855</xdr:colOff>
      <xdr:row>180</xdr:row>
      <xdr:rowOff>1082040</xdr:rowOff>
    </xdr:to>
    <xdr:pic>
      <xdr:nvPicPr>
        <xdr:cNvPr id="28111" name="Рисунок 28"/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846" y="260088017"/>
          <a:ext cx="53200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181</xdr:row>
      <xdr:rowOff>352734</xdr:rowOff>
    </xdr:from>
    <xdr:to>
      <xdr:col>0</xdr:col>
      <xdr:colOff>1282465</xdr:colOff>
      <xdr:row>181</xdr:row>
      <xdr:rowOff>1127760</xdr:rowOff>
    </xdr:to>
    <xdr:pic>
      <xdr:nvPicPr>
        <xdr:cNvPr id="28112" name="Рисунок 30"/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6166430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182</xdr:row>
      <xdr:rowOff>269966</xdr:rowOff>
    </xdr:from>
    <xdr:to>
      <xdr:col>0</xdr:col>
      <xdr:colOff>1282465</xdr:colOff>
      <xdr:row>182</xdr:row>
      <xdr:rowOff>1051560</xdr:rowOff>
    </xdr:to>
    <xdr:pic>
      <xdr:nvPicPr>
        <xdr:cNvPr id="28113" name="Рисунок 32"/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63105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183</xdr:row>
      <xdr:rowOff>291774</xdr:rowOff>
    </xdr:from>
    <xdr:to>
      <xdr:col>0</xdr:col>
      <xdr:colOff>1282465</xdr:colOff>
      <xdr:row>183</xdr:row>
      <xdr:rowOff>1066800</xdr:rowOff>
    </xdr:to>
    <xdr:pic>
      <xdr:nvPicPr>
        <xdr:cNvPr id="28114" name="Рисунок 34"/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64651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184</xdr:row>
      <xdr:rowOff>269966</xdr:rowOff>
    </xdr:from>
    <xdr:to>
      <xdr:col>0</xdr:col>
      <xdr:colOff>1282465</xdr:colOff>
      <xdr:row>184</xdr:row>
      <xdr:rowOff>1051560</xdr:rowOff>
    </xdr:to>
    <xdr:pic>
      <xdr:nvPicPr>
        <xdr:cNvPr id="28115" name="Рисунок 36"/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66153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185</xdr:row>
      <xdr:rowOff>300446</xdr:rowOff>
    </xdr:from>
    <xdr:to>
      <xdr:col>0</xdr:col>
      <xdr:colOff>1282465</xdr:colOff>
      <xdr:row>185</xdr:row>
      <xdr:rowOff>1082040</xdr:rowOff>
    </xdr:to>
    <xdr:pic>
      <xdr:nvPicPr>
        <xdr:cNvPr id="28116" name="Рисунок 38"/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67708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186</xdr:row>
      <xdr:rowOff>284154</xdr:rowOff>
    </xdr:from>
    <xdr:to>
      <xdr:col>0</xdr:col>
      <xdr:colOff>1282465</xdr:colOff>
      <xdr:row>186</xdr:row>
      <xdr:rowOff>1059180</xdr:rowOff>
    </xdr:to>
    <xdr:pic>
      <xdr:nvPicPr>
        <xdr:cNvPr id="28117" name="Рисунок 40"/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69215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187</xdr:row>
      <xdr:rowOff>352734</xdr:rowOff>
    </xdr:from>
    <xdr:to>
      <xdr:col>0</xdr:col>
      <xdr:colOff>1290085</xdr:colOff>
      <xdr:row>187</xdr:row>
      <xdr:rowOff>1127760</xdr:rowOff>
    </xdr:to>
    <xdr:pic>
      <xdr:nvPicPr>
        <xdr:cNvPr id="28118" name="Рисунок 42"/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27080830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188</xdr:row>
      <xdr:rowOff>291774</xdr:rowOff>
    </xdr:from>
    <xdr:to>
      <xdr:col>0</xdr:col>
      <xdr:colOff>1282465</xdr:colOff>
      <xdr:row>188</xdr:row>
      <xdr:rowOff>1066800</xdr:rowOff>
    </xdr:to>
    <xdr:pic>
      <xdr:nvPicPr>
        <xdr:cNvPr id="28119" name="Рисунок 44"/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72271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189</xdr:row>
      <xdr:rowOff>284154</xdr:rowOff>
    </xdr:from>
    <xdr:to>
      <xdr:col>0</xdr:col>
      <xdr:colOff>1282465</xdr:colOff>
      <xdr:row>189</xdr:row>
      <xdr:rowOff>1059180</xdr:rowOff>
    </xdr:to>
    <xdr:pic>
      <xdr:nvPicPr>
        <xdr:cNvPr id="28120" name="Рисунок 46"/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73787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190</xdr:row>
      <xdr:rowOff>283642</xdr:rowOff>
    </xdr:from>
    <xdr:to>
      <xdr:col>0</xdr:col>
      <xdr:colOff>1133788</xdr:colOff>
      <xdr:row>190</xdr:row>
      <xdr:rowOff>1150620</xdr:rowOff>
    </xdr:to>
    <xdr:pic>
      <xdr:nvPicPr>
        <xdr:cNvPr id="28121" name="Рисунок 48"/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275311213"/>
          <a:ext cx="886682" cy="8669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191</xdr:row>
      <xdr:rowOff>284154</xdr:rowOff>
    </xdr:from>
    <xdr:to>
      <xdr:col>0</xdr:col>
      <xdr:colOff>1290085</xdr:colOff>
      <xdr:row>191</xdr:row>
      <xdr:rowOff>1059180</xdr:rowOff>
    </xdr:to>
    <xdr:pic>
      <xdr:nvPicPr>
        <xdr:cNvPr id="28122" name="Рисунок 50"/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276835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192</xdr:row>
      <xdr:rowOff>300446</xdr:rowOff>
    </xdr:from>
    <xdr:to>
      <xdr:col>0</xdr:col>
      <xdr:colOff>1282465</xdr:colOff>
      <xdr:row>192</xdr:row>
      <xdr:rowOff>1082040</xdr:rowOff>
    </xdr:to>
    <xdr:pic>
      <xdr:nvPicPr>
        <xdr:cNvPr id="28123" name="Рисунок 52"/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78376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193</xdr:row>
      <xdr:rowOff>337494</xdr:rowOff>
    </xdr:from>
    <xdr:to>
      <xdr:col>0</xdr:col>
      <xdr:colOff>1282465</xdr:colOff>
      <xdr:row>193</xdr:row>
      <xdr:rowOff>1112520</xdr:rowOff>
    </xdr:to>
    <xdr:pic>
      <xdr:nvPicPr>
        <xdr:cNvPr id="28124" name="Рисунок 54"/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799370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194</xdr:row>
      <xdr:rowOff>300446</xdr:rowOff>
    </xdr:from>
    <xdr:to>
      <xdr:col>0</xdr:col>
      <xdr:colOff>1282465</xdr:colOff>
      <xdr:row>194</xdr:row>
      <xdr:rowOff>1082040</xdr:rowOff>
    </xdr:to>
    <xdr:pic>
      <xdr:nvPicPr>
        <xdr:cNvPr id="28125" name="Рисунок 56"/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81424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195</xdr:row>
      <xdr:rowOff>322254</xdr:rowOff>
    </xdr:from>
    <xdr:to>
      <xdr:col>0</xdr:col>
      <xdr:colOff>1282465</xdr:colOff>
      <xdr:row>195</xdr:row>
      <xdr:rowOff>1097280</xdr:rowOff>
    </xdr:to>
    <xdr:pic>
      <xdr:nvPicPr>
        <xdr:cNvPr id="28126" name="Рисунок 58"/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829698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196</xdr:row>
      <xdr:rowOff>291774</xdr:rowOff>
    </xdr:from>
    <xdr:to>
      <xdr:col>0</xdr:col>
      <xdr:colOff>1282465</xdr:colOff>
      <xdr:row>196</xdr:row>
      <xdr:rowOff>1066800</xdr:rowOff>
    </xdr:to>
    <xdr:pic>
      <xdr:nvPicPr>
        <xdr:cNvPr id="28127" name="Рисунок 60"/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84463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254726</xdr:colOff>
      <xdr:row>197</xdr:row>
      <xdr:rowOff>289954</xdr:rowOff>
    </xdr:from>
    <xdr:to>
      <xdr:col>0</xdr:col>
      <xdr:colOff>1180816</xdr:colOff>
      <xdr:row>197</xdr:row>
      <xdr:rowOff>1196340</xdr:rowOff>
    </xdr:to>
    <xdr:pic>
      <xdr:nvPicPr>
        <xdr:cNvPr id="28128" name="Рисунок 62"/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726" y="285985525"/>
          <a:ext cx="926090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198</xdr:row>
      <xdr:rowOff>322254</xdr:rowOff>
    </xdr:from>
    <xdr:to>
      <xdr:col>0</xdr:col>
      <xdr:colOff>1282465</xdr:colOff>
      <xdr:row>198</xdr:row>
      <xdr:rowOff>1097280</xdr:rowOff>
    </xdr:to>
    <xdr:pic>
      <xdr:nvPicPr>
        <xdr:cNvPr id="28129" name="Рисунок 9856"/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875418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199</xdr:row>
      <xdr:rowOff>291774</xdr:rowOff>
    </xdr:from>
    <xdr:to>
      <xdr:col>0</xdr:col>
      <xdr:colOff>1282465</xdr:colOff>
      <xdr:row>199</xdr:row>
      <xdr:rowOff>1066800</xdr:rowOff>
    </xdr:to>
    <xdr:pic>
      <xdr:nvPicPr>
        <xdr:cNvPr id="28130" name="Рисунок 9858"/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89035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323306</xdr:colOff>
      <xdr:row>200</xdr:row>
      <xdr:rowOff>345708</xdr:rowOff>
    </xdr:from>
    <xdr:to>
      <xdr:col>0</xdr:col>
      <xdr:colOff>1118036</xdr:colOff>
      <xdr:row>201</xdr:row>
      <xdr:rowOff>76199</xdr:rowOff>
    </xdr:to>
    <xdr:pic>
      <xdr:nvPicPr>
        <xdr:cNvPr id="28131" name="Рисунок 9860"/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06" y="290613279"/>
          <a:ext cx="794730" cy="12544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201</xdr:row>
      <xdr:rowOff>261294</xdr:rowOff>
    </xdr:from>
    <xdr:to>
      <xdr:col>0</xdr:col>
      <xdr:colOff>1282465</xdr:colOff>
      <xdr:row>201</xdr:row>
      <xdr:rowOff>1036320</xdr:rowOff>
    </xdr:to>
    <xdr:pic>
      <xdr:nvPicPr>
        <xdr:cNvPr id="28132" name="Рисунок 9862"/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92052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202</xdr:row>
      <xdr:rowOff>300446</xdr:rowOff>
    </xdr:from>
    <xdr:to>
      <xdr:col>0</xdr:col>
      <xdr:colOff>1282465</xdr:colOff>
      <xdr:row>202</xdr:row>
      <xdr:rowOff>1082040</xdr:rowOff>
    </xdr:to>
    <xdr:pic>
      <xdr:nvPicPr>
        <xdr:cNvPr id="28133" name="Рисунок 9864"/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93616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203</xdr:row>
      <xdr:rowOff>284154</xdr:rowOff>
    </xdr:from>
    <xdr:to>
      <xdr:col>0</xdr:col>
      <xdr:colOff>1282465</xdr:colOff>
      <xdr:row>203</xdr:row>
      <xdr:rowOff>1059180</xdr:rowOff>
    </xdr:to>
    <xdr:pic>
      <xdr:nvPicPr>
        <xdr:cNvPr id="28134" name="Рисунок 9866"/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95123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204</xdr:row>
      <xdr:rowOff>284154</xdr:rowOff>
    </xdr:from>
    <xdr:to>
      <xdr:col>0</xdr:col>
      <xdr:colOff>1282465</xdr:colOff>
      <xdr:row>204</xdr:row>
      <xdr:rowOff>1059180</xdr:rowOff>
    </xdr:to>
    <xdr:pic>
      <xdr:nvPicPr>
        <xdr:cNvPr id="28135" name="Рисунок 9868"/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96647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205</xdr:row>
      <xdr:rowOff>269966</xdr:rowOff>
    </xdr:from>
    <xdr:to>
      <xdr:col>0</xdr:col>
      <xdr:colOff>1282465</xdr:colOff>
      <xdr:row>205</xdr:row>
      <xdr:rowOff>1051560</xdr:rowOff>
    </xdr:to>
    <xdr:pic>
      <xdr:nvPicPr>
        <xdr:cNvPr id="28136" name="Рисунок 9870"/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98157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206</xdr:row>
      <xdr:rowOff>269966</xdr:rowOff>
    </xdr:from>
    <xdr:to>
      <xdr:col>0</xdr:col>
      <xdr:colOff>1282465</xdr:colOff>
      <xdr:row>206</xdr:row>
      <xdr:rowOff>1051560</xdr:rowOff>
    </xdr:to>
    <xdr:pic>
      <xdr:nvPicPr>
        <xdr:cNvPr id="28137" name="Рисунок 9872"/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99681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292826</xdr:colOff>
      <xdr:row>207</xdr:row>
      <xdr:rowOff>239514</xdr:rowOff>
    </xdr:from>
    <xdr:to>
      <xdr:col>0</xdr:col>
      <xdr:colOff>1067852</xdr:colOff>
      <xdr:row>207</xdr:row>
      <xdr:rowOff>1211580</xdr:rowOff>
    </xdr:to>
    <xdr:pic>
      <xdr:nvPicPr>
        <xdr:cNvPr id="28138" name="Рисунок 9874"/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6" y="301175085"/>
          <a:ext cx="775026" cy="9720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208</xdr:row>
      <xdr:rowOff>261294</xdr:rowOff>
    </xdr:from>
    <xdr:to>
      <xdr:col>0</xdr:col>
      <xdr:colOff>1282465</xdr:colOff>
      <xdr:row>208</xdr:row>
      <xdr:rowOff>1036320</xdr:rowOff>
    </xdr:to>
    <xdr:pic>
      <xdr:nvPicPr>
        <xdr:cNvPr id="28139" name="Рисунок 9876"/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02720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209</xdr:row>
      <xdr:rowOff>269966</xdr:rowOff>
    </xdr:from>
    <xdr:to>
      <xdr:col>0</xdr:col>
      <xdr:colOff>1282465</xdr:colOff>
      <xdr:row>209</xdr:row>
      <xdr:rowOff>1051560</xdr:rowOff>
    </xdr:to>
    <xdr:pic>
      <xdr:nvPicPr>
        <xdr:cNvPr id="28140" name="Рисунок 9878"/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04253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210</xdr:row>
      <xdr:rowOff>291774</xdr:rowOff>
    </xdr:from>
    <xdr:to>
      <xdr:col>0</xdr:col>
      <xdr:colOff>1269329</xdr:colOff>
      <xdr:row>210</xdr:row>
      <xdr:rowOff>1066800</xdr:rowOff>
    </xdr:to>
    <xdr:pic>
      <xdr:nvPicPr>
        <xdr:cNvPr id="28141" name="Рисунок 9880"/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05799345"/>
          <a:ext cx="1182243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211</xdr:row>
      <xdr:rowOff>300446</xdr:rowOff>
    </xdr:from>
    <xdr:to>
      <xdr:col>0</xdr:col>
      <xdr:colOff>1290085</xdr:colOff>
      <xdr:row>211</xdr:row>
      <xdr:rowOff>1082040</xdr:rowOff>
    </xdr:to>
    <xdr:pic>
      <xdr:nvPicPr>
        <xdr:cNvPr id="28142" name="Рисунок 9882"/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307332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212</xdr:row>
      <xdr:rowOff>291774</xdr:rowOff>
    </xdr:from>
    <xdr:to>
      <xdr:col>0</xdr:col>
      <xdr:colOff>1190001</xdr:colOff>
      <xdr:row>212</xdr:row>
      <xdr:rowOff>1066800</xdr:rowOff>
    </xdr:to>
    <xdr:pic>
      <xdr:nvPicPr>
        <xdr:cNvPr id="28143" name="Рисунок 9884"/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308847345"/>
          <a:ext cx="1011475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213</xdr:row>
      <xdr:rowOff>322254</xdr:rowOff>
    </xdr:from>
    <xdr:to>
      <xdr:col>0</xdr:col>
      <xdr:colOff>1282465</xdr:colOff>
      <xdr:row>213</xdr:row>
      <xdr:rowOff>1097280</xdr:rowOff>
    </xdr:to>
    <xdr:pic>
      <xdr:nvPicPr>
        <xdr:cNvPr id="28144" name="Рисунок 9886"/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104018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338546</xdr:colOff>
      <xdr:row>214</xdr:row>
      <xdr:rowOff>256062</xdr:rowOff>
    </xdr:from>
    <xdr:to>
      <xdr:col>0</xdr:col>
      <xdr:colOff>1080732</xdr:colOff>
      <xdr:row>214</xdr:row>
      <xdr:rowOff>1188720</xdr:rowOff>
    </xdr:to>
    <xdr:pic>
      <xdr:nvPicPr>
        <xdr:cNvPr id="28145" name="Рисунок 9888"/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546" y="311859633"/>
          <a:ext cx="742186" cy="9326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215</xdr:row>
      <xdr:rowOff>300446</xdr:rowOff>
    </xdr:from>
    <xdr:to>
      <xdr:col>0</xdr:col>
      <xdr:colOff>1282465</xdr:colOff>
      <xdr:row>215</xdr:row>
      <xdr:rowOff>1082040</xdr:rowOff>
    </xdr:to>
    <xdr:pic>
      <xdr:nvPicPr>
        <xdr:cNvPr id="28146" name="Рисунок 9890"/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13428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216</xdr:row>
      <xdr:rowOff>269966</xdr:rowOff>
    </xdr:from>
    <xdr:to>
      <xdr:col>0</xdr:col>
      <xdr:colOff>1282465</xdr:colOff>
      <xdr:row>216</xdr:row>
      <xdr:rowOff>1051560</xdr:rowOff>
    </xdr:to>
    <xdr:pic>
      <xdr:nvPicPr>
        <xdr:cNvPr id="28147" name="Рисунок 9892"/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14921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292826</xdr:colOff>
      <xdr:row>217</xdr:row>
      <xdr:rowOff>308606</xdr:rowOff>
    </xdr:from>
    <xdr:to>
      <xdr:col>0</xdr:col>
      <xdr:colOff>1087556</xdr:colOff>
      <xdr:row>217</xdr:row>
      <xdr:rowOff>1188720</xdr:rowOff>
    </xdr:to>
    <xdr:pic>
      <xdr:nvPicPr>
        <xdr:cNvPr id="28148" name="Рисунок 10075"/>
        <xdr:cNvPicPr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826" y="316484177"/>
          <a:ext cx="794730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218</xdr:row>
      <xdr:rowOff>269966</xdr:rowOff>
    </xdr:from>
    <xdr:to>
      <xdr:col>0</xdr:col>
      <xdr:colOff>1282465</xdr:colOff>
      <xdr:row>218</xdr:row>
      <xdr:rowOff>1051560</xdr:rowOff>
    </xdr:to>
    <xdr:pic>
      <xdr:nvPicPr>
        <xdr:cNvPr id="28149" name="Рисунок 10077"/>
        <xdr:cNvPicPr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17969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219</xdr:row>
      <xdr:rowOff>300446</xdr:rowOff>
    </xdr:from>
    <xdr:to>
      <xdr:col>0</xdr:col>
      <xdr:colOff>1282465</xdr:colOff>
      <xdr:row>219</xdr:row>
      <xdr:rowOff>1082040</xdr:rowOff>
    </xdr:to>
    <xdr:pic>
      <xdr:nvPicPr>
        <xdr:cNvPr id="28150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19524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220</xdr:row>
      <xdr:rowOff>352734</xdr:rowOff>
    </xdr:from>
    <xdr:to>
      <xdr:col>0</xdr:col>
      <xdr:colOff>1282465</xdr:colOff>
      <xdr:row>220</xdr:row>
      <xdr:rowOff>1127760</xdr:rowOff>
    </xdr:to>
    <xdr:pic>
      <xdr:nvPicPr>
        <xdr:cNvPr id="28151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2110030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221</xdr:row>
      <xdr:rowOff>322254</xdr:rowOff>
    </xdr:from>
    <xdr:to>
      <xdr:col>0</xdr:col>
      <xdr:colOff>1282465</xdr:colOff>
      <xdr:row>221</xdr:row>
      <xdr:rowOff>1097280</xdr:rowOff>
    </xdr:to>
    <xdr:pic>
      <xdr:nvPicPr>
        <xdr:cNvPr id="28152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225938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222</xdr:row>
      <xdr:rowOff>300446</xdr:rowOff>
    </xdr:from>
    <xdr:to>
      <xdr:col>0</xdr:col>
      <xdr:colOff>1282465</xdr:colOff>
      <xdr:row>222</xdr:row>
      <xdr:rowOff>1082040</xdr:rowOff>
    </xdr:to>
    <xdr:pic>
      <xdr:nvPicPr>
        <xdr:cNvPr id="28153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24096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223</xdr:row>
      <xdr:rowOff>269966</xdr:rowOff>
    </xdr:from>
    <xdr:to>
      <xdr:col>0</xdr:col>
      <xdr:colOff>1282465</xdr:colOff>
      <xdr:row>223</xdr:row>
      <xdr:rowOff>1051560</xdr:rowOff>
    </xdr:to>
    <xdr:pic>
      <xdr:nvPicPr>
        <xdr:cNvPr id="28154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25589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117566</xdr:colOff>
      <xdr:row>224</xdr:row>
      <xdr:rowOff>291774</xdr:rowOff>
    </xdr:from>
    <xdr:to>
      <xdr:col>0</xdr:col>
      <xdr:colOff>1311069</xdr:colOff>
      <xdr:row>224</xdr:row>
      <xdr:rowOff>1066800</xdr:rowOff>
    </xdr:to>
    <xdr:pic>
      <xdr:nvPicPr>
        <xdr:cNvPr id="28155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66" y="327135345"/>
          <a:ext cx="1193503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225</xdr:row>
      <xdr:rowOff>261294</xdr:rowOff>
    </xdr:from>
    <xdr:to>
      <xdr:col>0</xdr:col>
      <xdr:colOff>1282465</xdr:colOff>
      <xdr:row>225</xdr:row>
      <xdr:rowOff>1036320</xdr:rowOff>
    </xdr:to>
    <xdr:pic>
      <xdr:nvPicPr>
        <xdr:cNvPr id="28156" name="Рисунок 14"/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28628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323306</xdr:colOff>
      <xdr:row>226</xdr:row>
      <xdr:rowOff>283386</xdr:rowOff>
    </xdr:from>
    <xdr:to>
      <xdr:col>0</xdr:col>
      <xdr:colOff>1104900</xdr:colOff>
      <xdr:row>226</xdr:row>
      <xdr:rowOff>1196340</xdr:rowOff>
    </xdr:to>
    <xdr:pic>
      <xdr:nvPicPr>
        <xdr:cNvPr id="28157" name="Рисунок 16"/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06" y="330174957"/>
          <a:ext cx="781594" cy="912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227</xdr:row>
      <xdr:rowOff>300446</xdr:rowOff>
    </xdr:from>
    <xdr:to>
      <xdr:col>0</xdr:col>
      <xdr:colOff>1282465</xdr:colOff>
      <xdr:row>227</xdr:row>
      <xdr:rowOff>1082040</xdr:rowOff>
    </xdr:to>
    <xdr:pic>
      <xdr:nvPicPr>
        <xdr:cNvPr id="28158" name="Рисунок 18"/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31716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228</xdr:row>
      <xdr:rowOff>269966</xdr:rowOff>
    </xdr:from>
    <xdr:to>
      <xdr:col>0</xdr:col>
      <xdr:colOff>1282465</xdr:colOff>
      <xdr:row>228</xdr:row>
      <xdr:rowOff>1051560</xdr:rowOff>
    </xdr:to>
    <xdr:pic>
      <xdr:nvPicPr>
        <xdr:cNvPr id="28159" name="Рисунок 20"/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33209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229</xdr:row>
      <xdr:rowOff>352734</xdr:rowOff>
    </xdr:from>
    <xdr:to>
      <xdr:col>0</xdr:col>
      <xdr:colOff>1282465</xdr:colOff>
      <xdr:row>229</xdr:row>
      <xdr:rowOff>1127760</xdr:rowOff>
    </xdr:to>
    <xdr:pic>
      <xdr:nvPicPr>
        <xdr:cNvPr id="28160" name="Рисунок 22"/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3481630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230</xdr:row>
      <xdr:rowOff>284154</xdr:rowOff>
    </xdr:from>
    <xdr:to>
      <xdr:col>0</xdr:col>
      <xdr:colOff>1282465</xdr:colOff>
      <xdr:row>230</xdr:row>
      <xdr:rowOff>1059180</xdr:rowOff>
    </xdr:to>
    <xdr:pic>
      <xdr:nvPicPr>
        <xdr:cNvPr id="28161" name="Рисунок 24"/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36271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231</xdr:row>
      <xdr:rowOff>322254</xdr:rowOff>
    </xdr:from>
    <xdr:to>
      <xdr:col>0</xdr:col>
      <xdr:colOff>1282465</xdr:colOff>
      <xdr:row>231</xdr:row>
      <xdr:rowOff>1097280</xdr:rowOff>
    </xdr:to>
    <xdr:pic>
      <xdr:nvPicPr>
        <xdr:cNvPr id="28162" name="Рисунок 26"/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378338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232</xdr:row>
      <xdr:rowOff>269966</xdr:rowOff>
    </xdr:from>
    <xdr:to>
      <xdr:col>0</xdr:col>
      <xdr:colOff>1282465</xdr:colOff>
      <xdr:row>232</xdr:row>
      <xdr:rowOff>1051560</xdr:rowOff>
    </xdr:to>
    <xdr:pic>
      <xdr:nvPicPr>
        <xdr:cNvPr id="28163" name="Рисунок 28"/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39305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353786</xdr:colOff>
      <xdr:row>233</xdr:row>
      <xdr:rowOff>282334</xdr:rowOff>
    </xdr:from>
    <xdr:to>
      <xdr:col>0</xdr:col>
      <xdr:colOff>1082836</xdr:colOff>
      <xdr:row>233</xdr:row>
      <xdr:rowOff>1188720</xdr:rowOff>
    </xdr:to>
    <xdr:pic>
      <xdr:nvPicPr>
        <xdr:cNvPr id="28164" name="Рисунок 30"/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786" y="340841905"/>
          <a:ext cx="729050" cy="906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234</xdr:row>
      <xdr:rowOff>269966</xdr:rowOff>
    </xdr:from>
    <xdr:to>
      <xdr:col>0</xdr:col>
      <xdr:colOff>1290085</xdr:colOff>
      <xdr:row>234</xdr:row>
      <xdr:rowOff>1051560</xdr:rowOff>
    </xdr:to>
    <xdr:pic>
      <xdr:nvPicPr>
        <xdr:cNvPr id="28165" name="Рисунок 32"/>
        <xdr:cNvPicPr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342353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235</xdr:row>
      <xdr:rowOff>261294</xdr:rowOff>
    </xdr:from>
    <xdr:to>
      <xdr:col>0</xdr:col>
      <xdr:colOff>1282465</xdr:colOff>
      <xdr:row>235</xdr:row>
      <xdr:rowOff>1036320</xdr:rowOff>
    </xdr:to>
    <xdr:pic>
      <xdr:nvPicPr>
        <xdr:cNvPr id="28166" name="Рисунок 34"/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43868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236</xdr:row>
      <xdr:rowOff>291774</xdr:rowOff>
    </xdr:from>
    <xdr:to>
      <xdr:col>0</xdr:col>
      <xdr:colOff>1282465</xdr:colOff>
      <xdr:row>236</xdr:row>
      <xdr:rowOff>1066800</xdr:rowOff>
    </xdr:to>
    <xdr:pic>
      <xdr:nvPicPr>
        <xdr:cNvPr id="28167" name="Рисунок 36"/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45423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237</xdr:row>
      <xdr:rowOff>261294</xdr:rowOff>
    </xdr:from>
    <xdr:to>
      <xdr:col>0</xdr:col>
      <xdr:colOff>1290085</xdr:colOff>
      <xdr:row>237</xdr:row>
      <xdr:rowOff>1036320</xdr:rowOff>
    </xdr:to>
    <xdr:pic>
      <xdr:nvPicPr>
        <xdr:cNvPr id="28168" name="Рисунок 38"/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346916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238</xdr:row>
      <xdr:rowOff>284154</xdr:rowOff>
    </xdr:from>
    <xdr:to>
      <xdr:col>0</xdr:col>
      <xdr:colOff>1282465</xdr:colOff>
      <xdr:row>238</xdr:row>
      <xdr:rowOff>1059180</xdr:rowOff>
    </xdr:to>
    <xdr:pic>
      <xdr:nvPicPr>
        <xdr:cNvPr id="28169" name="Рисунок 40"/>
        <xdr:cNvPicPr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48463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239</xdr:row>
      <xdr:rowOff>284154</xdr:rowOff>
    </xdr:from>
    <xdr:to>
      <xdr:col>0</xdr:col>
      <xdr:colOff>1282465</xdr:colOff>
      <xdr:row>239</xdr:row>
      <xdr:rowOff>1059180</xdr:rowOff>
    </xdr:to>
    <xdr:pic>
      <xdr:nvPicPr>
        <xdr:cNvPr id="28170" name="Рисунок 44"/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49987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240</xdr:row>
      <xdr:rowOff>291774</xdr:rowOff>
    </xdr:from>
    <xdr:to>
      <xdr:col>0</xdr:col>
      <xdr:colOff>1282465</xdr:colOff>
      <xdr:row>240</xdr:row>
      <xdr:rowOff>1066800</xdr:rowOff>
    </xdr:to>
    <xdr:pic>
      <xdr:nvPicPr>
        <xdr:cNvPr id="28171" name="Рисунок 46"/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51519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241</xdr:row>
      <xdr:rowOff>291774</xdr:rowOff>
    </xdr:from>
    <xdr:to>
      <xdr:col>0</xdr:col>
      <xdr:colOff>1282465</xdr:colOff>
      <xdr:row>241</xdr:row>
      <xdr:rowOff>1066800</xdr:rowOff>
    </xdr:to>
    <xdr:pic>
      <xdr:nvPicPr>
        <xdr:cNvPr id="28172" name="Рисунок 48"/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53043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242</xdr:row>
      <xdr:rowOff>300446</xdr:rowOff>
    </xdr:from>
    <xdr:to>
      <xdr:col>0</xdr:col>
      <xdr:colOff>1290085</xdr:colOff>
      <xdr:row>242</xdr:row>
      <xdr:rowOff>1082040</xdr:rowOff>
    </xdr:to>
    <xdr:pic>
      <xdr:nvPicPr>
        <xdr:cNvPr id="28173" name="Рисунок 50"/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354576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243</xdr:row>
      <xdr:rowOff>291774</xdr:rowOff>
    </xdr:from>
    <xdr:to>
      <xdr:col>0</xdr:col>
      <xdr:colOff>1282465</xdr:colOff>
      <xdr:row>243</xdr:row>
      <xdr:rowOff>1066800</xdr:rowOff>
    </xdr:to>
    <xdr:pic>
      <xdr:nvPicPr>
        <xdr:cNvPr id="28174" name="Рисунок 52"/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56091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244</xdr:row>
      <xdr:rowOff>291774</xdr:rowOff>
    </xdr:from>
    <xdr:to>
      <xdr:col>0</xdr:col>
      <xdr:colOff>1290085</xdr:colOff>
      <xdr:row>244</xdr:row>
      <xdr:rowOff>1066800</xdr:rowOff>
    </xdr:to>
    <xdr:pic>
      <xdr:nvPicPr>
        <xdr:cNvPr id="28175" name="Рисунок 54"/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357615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285206</xdr:colOff>
      <xdr:row>245</xdr:row>
      <xdr:rowOff>279434</xdr:rowOff>
    </xdr:from>
    <xdr:to>
      <xdr:col>0</xdr:col>
      <xdr:colOff>1053664</xdr:colOff>
      <xdr:row>245</xdr:row>
      <xdr:rowOff>1120140</xdr:rowOff>
    </xdr:to>
    <xdr:pic>
      <xdr:nvPicPr>
        <xdr:cNvPr id="28176" name="Рисунок 56"/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206" y="359127005"/>
          <a:ext cx="768458" cy="8407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246</xdr:row>
      <xdr:rowOff>322254</xdr:rowOff>
    </xdr:from>
    <xdr:to>
      <xdr:col>0</xdr:col>
      <xdr:colOff>1282465</xdr:colOff>
      <xdr:row>246</xdr:row>
      <xdr:rowOff>1097280</xdr:rowOff>
    </xdr:to>
    <xdr:pic>
      <xdr:nvPicPr>
        <xdr:cNvPr id="28177" name="Рисунок 58"/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606938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247</xdr:row>
      <xdr:rowOff>291774</xdr:rowOff>
    </xdr:from>
    <xdr:to>
      <xdr:col>0</xdr:col>
      <xdr:colOff>1282465</xdr:colOff>
      <xdr:row>247</xdr:row>
      <xdr:rowOff>1066800</xdr:rowOff>
    </xdr:to>
    <xdr:pic>
      <xdr:nvPicPr>
        <xdr:cNvPr id="28178" name="Рисунок 60"/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62187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248</xdr:row>
      <xdr:rowOff>239486</xdr:rowOff>
    </xdr:from>
    <xdr:to>
      <xdr:col>0</xdr:col>
      <xdr:colOff>1282465</xdr:colOff>
      <xdr:row>248</xdr:row>
      <xdr:rowOff>1021080</xdr:rowOff>
    </xdr:to>
    <xdr:pic>
      <xdr:nvPicPr>
        <xdr:cNvPr id="28179" name="Рисунок 62"/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6365905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249</xdr:row>
      <xdr:rowOff>284154</xdr:rowOff>
    </xdr:from>
    <xdr:to>
      <xdr:col>0</xdr:col>
      <xdr:colOff>1282465</xdr:colOff>
      <xdr:row>249</xdr:row>
      <xdr:rowOff>1059180</xdr:rowOff>
    </xdr:to>
    <xdr:pic>
      <xdr:nvPicPr>
        <xdr:cNvPr id="28180" name="Рисунок 10941"/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65227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250</xdr:row>
      <xdr:rowOff>284154</xdr:rowOff>
    </xdr:from>
    <xdr:to>
      <xdr:col>0</xdr:col>
      <xdr:colOff>1282465</xdr:colOff>
      <xdr:row>250</xdr:row>
      <xdr:rowOff>1059180</xdr:rowOff>
    </xdr:to>
    <xdr:pic>
      <xdr:nvPicPr>
        <xdr:cNvPr id="28181" name="Рисунок 10687"/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66751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251</xdr:row>
      <xdr:rowOff>300446</xdr:rowOff>
    </xdr:from>
    <xdr:to>
      <xdr:col>0</xdr:col>
      <xdr:colOff>1282465</xdr:colOff>
      <xdr:row>251</xdr:row>
      <xdr:rowOff>1082040</xdr:rowOff>
    </xdr:to>
    <xdr:pic>
      <xdr:nvPicPr>
        <xdr:cNvPr id="28182" name="Рисунок 10689"/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68292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252</xdr:row>
      <xdr:rowOff>253958</xdr:rowOff>
    </xdr:from>
    <xdr:to>
      <xdr:col>0</xdr:col>
      <xdr:colOff>1087812</xdr:colOff>
      <xdr:row>252</xdr:row>
      <xdr:rowOff>1173480</xdr:rowOff>
    </xdr:to>
    <xdr:pic>
      <xdr:nvPicPr>
        <xdr:cNvPr id="28183" name="Рисунок 10691"/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369769529"/>
          <a:ext cx="840706" cy="9195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117566</xdr:colOff>
      <xdr:row>253</xdr:row>
      <xdr:rowOff>338546</xdr:rowOff>
    </xdr:from>
    <xdr:to>
      <xdr:col>0</xdr:col>
      <xdr:colOff>1311069</xdr:colOff>
      <xdr:row>253</xdr:row>
      <xdr:rowOff>1120140</xdr:rowOff>
    </xdr:to>
    <xdr:pic>
      <xdr:nvPicPr>
        <xdr:cNvPr id="28184" name="Рисунок 10693"/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66" y="371378117"/>
          <a:ext cx="1193503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254</xdr:row>
      <xdr:rowOff>269966</xdr:rowOff>
    </xdr:from>
    <xdr:to>
      <xdr:col>0</xdr:col>
      <xdr:colOff>1282465</xdr:colOff>
      <xdr:row>254</xdr:row>
      <xdr:rowOff>1051560</xdr:rowOff>
    </xdr:to>
    <xdr:pic>
      <xdr:nvPicPr>
        <xdr:cNvPr id="28185" name="Рисунок 10695"/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72833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255</xdr:row>
      <xdr:rowOff>269966</xdr:rowOff>
    </xdr:from>
    <xdr:to>
      <xdr:col>0</xdr:col>
      <xdr:colOff>1282465</xdr:colOff>
      <xdr:row>255</xdr:row>
      <xdr:rowOff>1051560</xdr:rowOff>
    </xdr:to>
    <xdr:pic>
      <xdr:nvPicPr>
        <xdr:cNvPr id="28186" name="Рисунок 10697"/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74357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256</xdr:row>
      <xdr:rowOff>291774</xdr:rowOff>
    </xdr:from>
    <xdr:to>
      <xdr:col>0</xdr:col>
      <xdr:colOff>1290085</xdr:colOff>
      <xdr:row>256</xdr:row>
      <xdr:rowOff>1066800</xdr:rowOff>
    </xdr:to>
    <xdr:pic>
      <xdr:nvPicPr>
        <xdr:cNvPr id="28187" name="Рисунок 10699"/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375903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257</xdr:row>
      <xdr:rowOff>291774</xdr:rowOff>
    </xdr:from>
    <xdr:to>
      <xdr:col>0</xdr:col>
      <xdr:colOff>1290085</xdr:colOff>
      <xdr:row>257</xdr:row>
      <xdr:rowOff>1066800</xdr:rowOff>
    </xdr:to>
    <xdr:pic>
      <xdr:nvPicPr>
        <xdr:cNvPr id="28188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377427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259</xdr:row>
      <xdr:rowOff>269966</xdr:rowOff>
    </xdr:from>
    <xdr:to>
      <xdr:col>0</xdr:col>
      <xdr:colOff>1282465</xdr:colOff>
      <xdr:row>259</xdr:row>
      <xdr:rowOff>1051560</xdr:rowOff>
    </xdr:to>
    <xdr:pic>
      <xdr:nvPicPr>
        <xdr:cNvPr id="28189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80453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260</xdr:row>
      <xdr:rowOff>300446</xdr:rowOff>
    </xdr:from>
    <xdr:to>
      <xdr:col>0</xdr:col>
      <xdr:colOff>1282465</xdr:colOff>
      <xdr:row>260</xdr:row>
      <xdr:rowOff>1082040</xdr:rowOff>
    </xdr:to>
    <xdr:pic>
      <xdr:nvPicPr>
        <xdr:cNvPr id="28190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82008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330926</xdr:colOff>
      <xdr:row>262</xdr:row>
      <xdr:rowOff>236358</xdr:rowOff>
    </xdr:from>
    <xdr:to>
      <xdr:col>0</xdr:col>
      <xdr:colOff>1073112</xdr:colOff>
      <xdr:row>262</xdr:row>
      <xdr:rowOff>1188720</xdr:rowOff>
    </xdr:to>
    <xdr:pic>
      <xdr:nvPicPr>
        <xdr:cNvPr id="28191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926" y="384991929"/>
          <a:ext cx="742186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263</xdr:row>
      <xdr:rowOff>261294</xdr:rowOff>
    </xdr:from>
    <xdr:to>
      <xdr:col>0</xdr:col>
      <xdr:colOff>1282465</xdr:colOff>
      <xdr:row>263</xdr:row>
      <xdr:rowOff>1036320</xdr:rowOff>
    </xdr:to>
    <xdr:pic>
      <xdr:nvPicPr>
        <xdr:cNvPr id="28192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86540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261</xdr:row>
      <xdr:rowOff>322254</xdr:rowOff>
    </xdr:from>
    <xdr:to>
      <xdr:col>0</xdr:col>
      <xdr:colOff>1282465</xdr:colOff>
      <xdr:row>261</xdr:row>
      <xdr:rowOff>1097280</xdr:rowOff>
    </xdr:to>
    <xdr:pic>
      <xdr:nvPicPr>
        <xdr:cNvPr id="28193" name="Рисунок 14"/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835538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265</xdr:row>
      <xdr:rowOff>291774</xdr:rowOff>
    </xdr:from>
    <xdr:to>
      <xdr:col>0</xdr:col>
      <xdr:colOff>1282465</xdr:colOff>
      <xdr:row>265</xdr:row>
      <xdr:rowOff>1066800</xdr:rowOff>
    </xdr:to>
    <xdr:pic>
      <xdr:nvPicPr>
        <xdr:cNvPr id="28194" name="Рисунок 16"/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89619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264</xdr:row>
      <xdr:rowOff>291774</xdr:rowOff>
    </xdr:from>
    <xdr:to>
      <xdr:col>0</xdr:col>
      <xdr:colOff>1282465</xdr:colOff>
      <xdr:row>264</xdr:row>
      <xdr:rowOff>1066800</xdr:rowOff>
    </xdr:to>
    <xdr:pic>
      <xdr:nvPicPr>
        <xdr:cNvPr id="28195" name="Рисунок 18"/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88095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266</xdr:row>
      <xdr:rowOff>300446</xdr:rowOff>
    </xdr:from>
    <xdr:to>
      <xdr:col>0</xdr:col>
      <xdr:colOff>1282465</xdr:colOff>
      <xdr:row>266</xdr:row>
      <xdr:rowOff>1082040</xdr:rowOff>
    </xdr:to>
    <xdr:pic>
      <xdr:nvPicPr>
        <xdr:cNvPr id="28196" name="Рисунок 20"/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91152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267</xdr:row>
      <xdr:rowOff>352734</xdr:rowOff>
    </xdr:from>
    <xdr:to>
      <xdr:col>0</xdr:col>
      <xdr:colOff>1282465</xdr:colOff>
      <xdr:row>267</xdr:row>
      <xdr:rowOff>1127760</xdr:rowOff>
    </xdr:to>
    <xdr:pic>
      <xdr:nvPicPr>
        <xdr:cNvPr id="28197" name="Рисунок 22"/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9272830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268</xdr:row>
      <xdr:rowOff>284154</xdr:rowOff>
    </xdr:from>
    <xdr:to>
      <xdr:col>0</xdr:col>
      <xdr:colOff>1282465</xdr:colOff>
      <xdr:row>268</xdr:row>
      <xdr:rowOff>1059180</xdr:rowOff>
    </xdr:to>
    <xdr:pic>
      <xdr:nvPicPr>
        <xdr:cNvPr id="28198" name="Рисунок 24"/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94183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460466</xdr:colOff>
      <xdr:row>269</xdr:row>
      <xdr:rowOff>273918</xdr:rowOff>
    </xdr:from>
    <xdr:to>
      <xdr:col>0</xdr:col>
      <xdr:colOff>1031883</xdr:colOff>
      <xdr:row>269</xdr:row>
      <xdr:rowOff>1127760</xdr:rowOff>
    </xdr:to>
    <xdr:pic>
      <xdr:nvPicPr>
        <xdr:cNvPr id="28199" name="Рисунок 26"/>
        <xdr:cNvPicPr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466" y="395697489"/>
          <a:ext cx="571417" cy="853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270</xdr:row>
      <xdr:rowOff>269966</xdr:rowOff>
    </xdr:from>
    <xdr:to>
      <xdr:col>0</xdr:col>
      <xdr:colOff>1282465</xdr:colOff>
      <xdr:row>270</xdr:row>
      <xdr:rowOff>1051560</xdr:rowOff>
    </xdr:to>
    <xdr:pic>
      <xdr:nvPicPr>
        <xdr:cNvPr id="28200" name="Рисунок 28"/>
        <xdr:cNvPicPr>
          <a:picLocks noChangeAspect="1" noChangeArrowheads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97217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271</xdr:row>
      <xdr:rowOff>291774</xdr:rowOff>
    </xdr:from>
    <xdr:to>
      <xdr:col>0</xdr:col>
      <xdr:colOff>1295601</xdr:colOff>
      <xdr:row>271</xdr:row>
      <xdr:rowOff>1066800</xdr:rowOff>
    </xdr:to>
    <xdr:pic>
      <xdr:nvPicPr>
        <xdr:cNvPr id="28201" name="Рисунок 30"/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398763345"/>
          <a:ext cx="1208515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117566</xdr:colOff>
      <xdr:row>272</xdr:row>
      <xdr:rowOff>284154</xdr:rowOff>
    </xdr:from>
    <xdr:to>
      <xdr:col>0</xdr:col>
      <xdr:colOff>1317637</xdr:colOff>
      <xdr:row>272</xdr:row>
      <xdr:rowOff>1059180</xdr:rowOff>
    </xdr:to>
    <xdr:pic>
      <xdr:nvPicPr>
        <xdr:cNvPr id="28202" name="Рисунок 32"/>
        <xdr:cNvPicPr>
          <a:picLocks noChangeAspect="1" noChangeArrowheads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66" y="400279725"/>
          <a:ext cx="1200071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273</xdr:row>
      <xdr:rowOff>284154</xdr:rowOff>
    </xdr:from>
    <xdr:to>
      <xdr:col>0</xdr:col>
      <xdr:colOff>1282465</xdr:colOff>
      <xdr:row>273</xdr:row>
      <xdr:rowOff>1059180</xdr:rowOff>
    </xdr:to>
    <xdr:pic>
      <xdr:nvPicPr>
        <xdr:cNvPr id="28203" name="Рисунок 34"/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01803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274</xdr:row>
      <xdr:rowOff>284154</xdr:rowOff>
    </xdr:from>
    <xdr:to>
      <xdr:col>0</xdr:col>
      <xdr:colOff>1282465</xdr:colOff>
      <xdr:row>274</xdr:row>
      <xdr:rowOff>1059180</xdr:rowOff>
    </xdr:to>
    <xdr:pic>
      <xdr:nvPicPr>
        <xdr:cNvPr id="28204" name="Рисунок 36"/>
        <xdr:cNvPicPr>
          <a:picLocks noChangeAspect="1" noChangeArrowheads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03327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275</xdr:row>
      <xdr:rowOff>291774</xdr:rowOff>
    </xdr:from>
    <xdr:to>
      <xdr:col>0</xdr:col>
      <xdr:colOff>1282465</xdr:colOff>
      <xdr:row>275</xdr:row>
      <xdr:rowOff>1066800</xdr:rowOff>
    </xdr:to>
    <xdr:pic>
      <xdr:nvPicPr>
        <xdr:cNvPr id="28205" name="Рисунок 38"/>
        <xdr:cNvPicPr>
          <a:picLocks noChangeAspect="1" noChangeArrowheads="1"/>
        </xdr:cNvPicPr>
      </xdr:nvPicPr>
      <xdr:blipFill>
        <a:blip xmlns:r="http://schemas.openxmlformats.org/officeDocument/2006/relationships" r:embed="rId2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04859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276</xdr:row>
      <xdr:rowOff>361406</xdr:rowOff>
    </xdr:from>
    <xdr:to>
      <xdr:col>0</xdr:col>
      <xdr:colOff>1282465</xdr:colOff>
      <xdr:row>276</xdr:row>
      <xdr:rowOff>1143000</xdr:rowOff>
    </xdr:to>
    <xdr:pic>
      <xdr:nvPicPr>
        <xdr:cNvPr id="28206" name="Рисунок 40"/>
        <xdr:cNvPicPr>
          <a:picLocks noChangeAspect="1" noChangeArrowheads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0645297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277</xdr:row>
      <xdr:rowOff>284154</xdr:rowOff>
    </xdr:from>
    <xdr:to>
      <xdr:col>0</xdr:col>
      <xdr:colOff>1282465</xdr:colOff>
      <xdr:row>277</xdr:row>
      <xdr:rowOff>1059180</xdr:rowOff>
    </xdr:to>
    <xdr:pic>
      <xdr:nvPicPr>
        <xdr:cNvPr id="28207" name="Рисунок 42"/>
        <xdr:cNvPicPr>
          <a:picLocks noChangeAspect="1" noChangeArrowheads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07899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278</xdr:row>
      <xdr:rowOff>338546</xdr:rowOff>
    </xdr:from>
    <xdr:to>
      <xdr:col>0</xdr:col>
      <xdr:colOff>1282465</xdr:colOff>
      <xdr:row>278</xdr:row>
      <xdr:rowOff>1120140</xdr:rowOff>
    </xdr:to>
    <xdr:pic>
      <xdr:nvPicPr>
        <xdr:cNvPr id="28208" name="Рисунок 44"/>
        <xdr:cNvPicPr>
          <a:picLocks noChangeAspect="1" noChangeArrowheads="1"/>
        </xdr:cNvPicPr>
      </xdr:nvPicPr>
      <xdr:blipFill>
        <a:blip xmlns:r="http://schemas.openxmlformats.org/officeDocument/2006/relationships" r:embed="rId2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094781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279</xdr:row>
      <xdr:rowOff>284154</xdr:rowOff>
    </xdr:from>
    <xdr:to>
      <xdr:col>0</xdr:col>
      <xdr:colOff>980876</xdr:colOff>
      <xdr:row>279</xdr:row>
      <xdr:rowOff>1059180</xdr:rowOff>
    </xdr:to>
    <xdr:pic>
      <xdr:nvPicPr>
        <xdr:cNvPr id="28209" name="Рисунок 46"/>
        <xdr:cNvPicPr>
          <a:picLocks noChangeAspect="1" noChangeArrowheads="1"/>
        </xdr:cNvPicPr>
      </xdr:nvPicPr>
      <xdr:blipFill>
        <a:blip xmlns:r="http://schemas.openxmlformats.org/officeDocument/2006/relationships" r:embed="rId2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410947725"/>
          <a:ext cx="794730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280</xdr:row>
      <xdr:rowOff>284154</xdr:rowOff>
    </xdr:from>
    <xdr:to>
      <xdr:col>0</xdr:col>
      <xdr:colOff>1290085</xdr:colOff>
      <xdr:row>280</xdr:row>
      <xdr:rowOff>1059180</xdr:rowOff>
    </xdr:to>
    <xdr:pic>
      <xdr:nvPicPr>
        <xdr:cNvPr id="28210" name="Рисунок 48"/>
        <xdr:cNvPicPr>
          <a:picLocks noChangeAspect="1" noChangeArrowheads="1"/>
        </xdr:cNvPicPr>
      </xdr:nvPicPr>
      <xdr:blipFill>
        <a:blip xmlns:r="http://schemas.openxmlformats.org/officeDocument/2006/relationships" r:embed="rId2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412471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281</xdr:row>
      <xdr:rowOff>269966</xdr:rowOff>
    </xdr:from>
    <xdr:to>
      <xdr:col>0</xdr:col>
      <xdr:colOff>1282465</xdr:colOff>
      <xdr:row>281</xdr:row>
      <xdr:rowOff>1051560</xdr:rowOff>
    </xdr:to>
    <xdr:pic>
      <xdr:nvPicPr>
        <xdr:cNvPr id="28211" name="Рисунок 50"/>
        <xdr:cNvPicPr>
          <a:picLocks noChangeAspect="1" noChangeArrowheads="1"/>
        </xdr:cNvPicPr>
      </xdr:nvPicPr>
      <xdr:blipFill>
        <a:blip xmlns:r="http://schemas.openxmlformats.org/officeDocument/2006/relationships" r:embed="rId2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13981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282</xdr:row>
      <xdr:rowOff>261294</xdr:rowOff>
    </xdr:from>
    <xdr:to>
      <xdr:col>0</xdr:col>
      <xdr:colOff>1282465</xdr:colOff>
      <xdr:row>282</xdr:row>
      <xdr:rowOff>1036320</xdr:rowOff>
    </xdr:to>
    <xdr:pic>
      <xdr:nvPicPr>
        <xdr:cNvPr id="28212" name="Рисунок 52"/>
        <xdr:cNvPicPr>
          <a:picLocks noChangeAspect="1" noChangeArrowheads="1"/>
        </xdr:cNvPicPr>
      </xdr:nvPicPr>
      <xdr:blipFill>
        <a:blip xmlns:r="http://schemas.openxmlformats.org/officeDocument/2006/relationships" r:embed="rId2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15496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283</xdr:row>
      <xdr:rowOff>261294</xdr:rowOff>
    </xdr:from>
    <xdr:to>
      <xdr:col>0</xdr:col>
      <xdr:colOff>1290085</xdr:colOff>
      <xdr:row>283</xdr:row>
      <xdr:rowOff>1036320</xdr:rowOff>
    </xdr:to>
    <xdr:pic>
      <xdr:nvPicPr>
        <xdr:cNvPr id="28213" name="Рисунок 54"/>
        <xdr:cNvPicPr>
          <a:picLocks noChangeAspect="1" noChangeArrowheads="1"/>
        </xdr:cNvPicPr>
      </xdr:nvPicPr>
      <xdr:blipFill>
        <a:blip xmlns:r="http://schemas.openxmlformats.org/officeDocument/2006/relationships" r:embed="rId2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417020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284</xdr:row>
      <xdr:rowOff>269966</xdr:rowOff>
    </xdr:from>
    <xdr:to>
      <xdr:col>0</xdr:col>
      <xdr:colOff>1282465</xdr:colOff>
      <xdr:row>284</xdr:row>
      <xdr:rowOff>1051560</xdr:rowOff>
    </xdr:to>
    <xdr:pic>
      <xdr:nvPicPr>
        <xdr:cNvPr id="28214" name="Рисунок 56"/>
        <xdr:cNvPicPr>
          <a:picLocks noChangeAspect="1" noChangeArrowheads="1"/>
        </xdr:cNvPicPr>
      </xdr:nvPicPr>
      <xdr:blipFill>
        <a:blip xmlns:r="http://schemas.openxmlformats.org/officeDocument/2006/relationships" r:embed="rId2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18553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285</xdr:row>
      <xdr:rowOff>322254</xdr:rowOff>
    </xdr:from>
    <xdr:to>
      <xdr:col>0</xdr:col>
      <xdr:colOff>1282465</xdr:colOff>
      <xdr:row>285</xdr:row>
      <xdr:rowOff>1097280</xdr:rowOff>
    </xdr:to>
    <xdr:pic>
      <xdr:nvPicPr>
        <xdr:cNvPr id="28215" name="Рисунок 58"/>
        <xdr:cNvPicPr>
          <a:picLocks noChangeAspect="1" noChangeArrowheads="1"/>
        </xdr:cNvPicPr>
      </xdr:nvPicPr>
      <xdr:blipFill>
        <a:blip xmlns:r="http://schemas.openxmlformats.org/officeDocument/2006/relationships" r:embed="rId2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201298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286</xdr:row>
      <xdr:rowOff>322254</xdr:rowOff>
    </xdr:from>
    <xdr:to>
      <xdr:col>0</xdr:col>
      <xdr:colOff>1041836</xdr:colOff>
      <xdr:row>286</xdr:row>
      <xdr:rowOff>1097280</xdr:rowOff>
    </xdr:to>
    <xdr:pic>
      <xdr:nvPicPr>
        <xdr:cNvPr id="28216" name="Рисунок 60"/>
        <xdr:cNvPicPr>
          <a:picLocks noChangeAspect="1" noChangeArrowheads="1"/>
        </xdr:cNvPicPr>
      </xdr:nvPicPr>
      <xdr:blipFill>
        <a:blip xmlns:r="http://schemas.openxmlformats.org/officeDocument/2006/relationships" r:embed="rId2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421653825"/>
          <a:ext cx="794730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288</xdr:row>
      <xdr:rowOff>291774</xdr:rowOff>
    </xdr:from>
    <xdr:to>
      <xdr:col>0</xdr:col>
      <xdr:colOff>1282465</xdr:colOff>
      <xdr:row>288</xdr:row>
      <xdr:rowOff>1066800</xdr:rowOff>
    </xdr:to>
    <xdr:pic>
      <xdr:nvPicPr>
        <xdr:cNvPr id="28217" name="Рисунок 62"/>
        <xdr:cNvPicPr>
          <a:picLocks noChangeAspect="1" noChangeArrowheads="1"/>
        </xdr:cNvPicPr>
      </xdr:nvPicPr>
      <xdr:blipFill>
        <a:blip xmlns:r="http://schemas.openxmlformats.org/officeDocument/2006/relationships" r:embed="rId2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24671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289</xdr:row>
      <xdr:rowOff>261294</xdr:rowOff>
    </xdr:from>
    <xdr:to>
      <xdr:col>0</xdr:col>
      <xdr:colOff>1290085</xdr:colOff>
      <xdr:row>289</xdr:row>
      <xdr:rowOff>1036320</xdr:rowOff>
    </xdr:to>
    <xdr:pic>
      <xdr:nvPicPr>
        <xdr:cNvPr id="28218" name="Рисунок 11200"/>
        <xdr:cNvPicPr>
          <a:picLocks noChangeAspect="1" noChangeArrowheads="1"/>
        </xdr:cNvPicPr>
      </xdr:nvPicPr>
      <xdr:blipFill>
        <a:blip xmlns:r="http://schemas.openxmlformats.org/officeDocument/2006/relationships" r:embed="rId2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426164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290</xdr:row>
      <xdr:rowOff>269966</xdr:rowOff>
    </xdr:from>
    <xdr:to>
      <xdr:col>0</xdr:col>
      <xdr:colOff>1282465</xdr:colOff>
      <xdr:row>290</xdr:row>
      <xdr:rowOff>1051560</xdr:rowOff>
    </xdr:to>
    <xdr:pic>
      <xdr:nvPicPr>
        <xdr:cNvPr id="28219" name="Рисунок 11202"/>
        <xdr:cNvPicPr>
          <a:picLocks noChangeAspect="1" noChangeArrowheads="1"/>
        </xdr:cNvPicPr>
      </xdr:nvPicPr>
      <xdr:blipFill>
        <a:blip xmlns:r="http://schemas.openxmlformats.org/officeDocument/2006/relationships" r:embed="rId2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27697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291</xdr:row>
      <xdr:rowOff>261294</xdr:rowOff>
    </xdr:from>
    <xdr:to>
      <xdr:col>0</xdr:col>
      <xdr:colOff>1282465</xdr:colOff>
      <xdr:row>291</xdr:row>
      <xdr:rowOff>1036320</xdr:rowOff>
    </xdr:to>
    <xdr:pic>
      <xdr:nvPicPr>
        <xdr:cNvPr id="28220" name="Рисунок 11204"/>
        <xdr:cNvPicPr>
          <a:picLocks noChangeAspect="1" noChangeArrowheads="1"/>
        </xdr:cNvPicPr>
      </xdr:nvPicPr>
      <xdr:blipFill>
        <a:blip xmlns:r="http://schemas.openxmlformats.org/officeDocument/2006/relationships" r:embed="rId2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2921286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94706</xdr:colOff>
      <xdr:row>292</xdr:row>
      <xdr:rowOff>284154</xdr:rowOff>
    </xdr:from>
    <xdr:to>
      <xdr:col>0</xdr:col>
      <xdr:colOff>1290085</xdr:colOff>
      <xdr:row>292</xdr:row>
      <xdr:rowOff>1059180</xdr:rowOff>
    </xdr:to>
    <xdr:pic>
      <xdr:nvPicPr>
        <xdr:cNvPr id="28221" name="Рисунок 11206"/>
        <xdr:cNvPicPr>
          <a:picLocks noChangeAspect="1" noChangeArrowheads="1"/>
        </xdr:cNvPicPr>
      </xdr:nvPicPr>
      <xdr:blipFill>
        <a:blip xmlns:r="http://schemas.openxmlformats.org/officeDocument/2006/relationships" r:embed="rId2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06" y="430759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293</xdr:row>
      <xdr:rowOff>284154</xdr:rowOff>
    </xdr:from>
    <xdr:to>
      <xdr:col>0</xdr:col>
      <xdr:colOff>1282465</xdr:colOff>
      <xdr:row>293</xdr:row>
      <xdr:rowOff>1059180</xdr:rowOff>
    </xdr:to>
    <xdr:pic>
      <xdr:nvPicPr>
        <xdr:cNvPr id="28222" name="Рисунок 11208"/>
        <xdr:cNvPicPr>
          <a:picLocks noChangeAspect="1" noChangeArrowheads="1"/>
        </xdr:cNvPicPr>
      </xdr:nvPicPr>
      <xdr:blipFill>
        <a:blip xmlns:r="http://schemas.openxmlformats.org/officeDocument/2006/relationships" r:embed="rId2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32283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294</xdr:row>
      <xdr:rowOff>239486</xdr:rowOff>
    </xdr:from>
    <xdr:to>
      <xdr:col>0</xdr:col>
      <xdr:colOff>1282465</xdr:colOff>
      <xdr:row>294</xdr:row>
      <xdr:rowOff>1021080</xdr:rowOff>
    </xdr:to>
    <xdr:pic>
      <xdr:nvPicPr>
        <xdr:cNvPr id="28223" name="Рисунок 11480"/>
        <xdr:cNvPicPr>
          <a:picLocks noChangeAspect="1" noChangeArrowheads="1"/>
        </xdr:cNvPicPr>
      </xdr:nvPicPr>
      <xdr:blipFill>
        <a:blip xmlns:r="http://schemas.openxmlformats.org/officeDocument/2006/relationships" r:embed="rId2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3376305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295</xdr:row>
      <xdr:rowOff>291774</xdr:rowOff>
    </xdr:from>
    <xdr:to>
      <xdr:col>0</xdr:col>
      <xdr:colOff>1282465</xdr:colOff>
      <xdr:row>295</xdr:row>
      <xdr:rowOff>1066800</xdr:rowOff>
    </xdr:to>
    <xdr:pic>
      <xdr:nvPicPr>
        <xdr:cNvPr id="28224" name="Рисунок 11482"/>
        <xdr:cNvPicPr>
          <a:picLocks noChangeAspect="1" noChangeArrowheads="1"/>
        </xdr:cNvPicPr>
      </xdr:nvPicPr>
      <xdr:blipFill>
        <a:blip xmlns:r="http://schemas.openxmlformats.org/officeDocument/2006/relationships" r:embed="rId2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35339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376646</xdr:colOff>
      <xdr:row>296</xdr:row>
      <xdr:rowOff>284154</xdr:rowOff>
    </xdr:from>
    <xdr:to>
      <xdr:col>0</xdr:col>
      <xdr:colOff>1092560</xdr:colOff>
      <xdr:row>296</xdr:row>
      <xdr:rowOff>1059180</xdr:rowOff>
    </xdr:to>
    <xdr:pic>
      <xdr:nvPicPr>
        <xdr:cNvPr id="28225" name="Рисунок 11484"/>
        <xdr:cNvPicPr>
          <a:picLocks noChangeAspect="1" noChangeArrowheads="1"/>
        </xdr:cNvPicPr>
      </xdr:nvPicPr>
      <xdr:blipFill>
        <a:blip xmlns:r="http://schemas.openxmlformats.org/officeDocument/2006/relationships" r:embed="rId2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646" y="436855725"/>
          <a:ext cx="715914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297</xdr:row>
      <xdr:rowOff>284154</xdr:rowOff>
    </xdr:from>
    <xdr:to>
      <xdr:col>0</xdr:col>
      <xdr:colOff>1282465</xdr:colOff>
      <xdr:row>297</xdr:row>
      <xdr:rowOff>1059180</xdr:rowOff>
    </xdr:to>
    <xdr:pic>
      <xdr:nvPicPr>
        <xdr:cNvPr id="28226" name="Рисунок 11486"/>
        <xdr:cNvPicPr>
          <a:picLocks noChangeAspect="1" noChangeArrowheads="1"/>
        </xdr:cNvPicPr>
      </xdr:nvPicPr>
      <xdr:blipFill>
        <a:blip xmlns:r="http://schemas.openxmlformats.org/officeDocument/2006/relationships" r:embed="rId2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38379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298</xdr:row>
      <xdr:rowOff>300446</xdr:rowOff>
    </xdr:from>
    <xdr:to>
      <xdr:col>0</xdr:col>
      <xdr:colOff>1282465</xdr:colOff>
      <xdr:row>298</xdr:row>
      <xdr:rowOff>1082040</xdr:rowOff>
    </xdr:to>
    <xdr:pic>
      <xdr:nvPicPr>
        <xdr:cNvPr id="28227" name="Рисунок 11488"/>
        <xdr:cNvPicPr>
          <a:picLocks noChangeAspect="1" noChangeArrowheads="1"/>
        </xdr:cNvPicPr>
      </xdr:nvPicPr>
      <xdr:blipFill>
        <a:blip xmlns:r="http://schemas.openxmlformats.org/officeDocument/2006/relationships" r:embed="rId2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39920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299</xdr:row>
      <xdr:rowOff>284154</xdr:rowOff>
    </xdr:from>
    <xdr:to>
      <xdr:col>0</xdr:col>
      <xdr:colOff>1282465</xdr:colOff>
      <xdr:row>299</xdr:row>
      <xdr:rowOff>1059180</xdr:rowOff>
    </xdr:to>
    <xdr:pic>
      <xdr:nvPicPr>
        <xdr:cNvPr id="28228" name="Рисунок 11490"/>
        <xdr:cNvPicPr>
          <a:picLocks noChangeAspect="1" noChangeArrowheads="1"/>
        </xdr:cNvPicPr>
      </xdr:nvPicPr>
      <xdr:blipFill>
        <a:blip xmlns:r="http://schemas.openxmlformats.org/officeDocument/2006/relationships" r:embed="rId2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41427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300</xdr:row>
      <xdr:rowOff>291774</xdr:rowOff>
    </xdr:from>
    <xdr:to>
      <xdr:col>0</xdr:col>
      <xdr:colOff>1282465</xdr:colOff>
      <xdr:row>300</xdr:row>
      <xdr:rowOff>1066800</xdr:rowOff>
    </xdr:to>
    <xdr:pic>
      <xdr:nvPicPr>
        <xdr:cNvPr id="28229" name="Рисунок 11492"/>
        <xdr:cNvPicPr>
          <a:picLocks noChangeAspect="1" noChangeArrowheads="1"/>
        </xdr:cNvPicPr>
      </xdr:nvPicPr>
      <xdr:blipFill>
        <a:blip xmlns:r="http://schemas.openxmlformats.org/officeDocument/2006/relationships" r:embed="rId2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42959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301</xdr:row>
      <xdr:rowOff>284154</xdr:rowOff>
    </xdr:from>
    <xdr:to>
      <xdr:col>0</xdr:col>
      <xdr:colOff>1282465</xdr:colOff>
      <xdr:row>301</xdr:row>
      <xdr:rowOff>1059180</xdr:rowOff>
    </xdr:to>
    <xdr:pic>
      <xdr:nvPicPr>
        <xdr:cNvPr id="28230" name="Рисунок 11494"/>
        <xdr:cNvPicPr>
          <a:picLocks noChangeAspect="1" noChangeArrowheads="1"/>
        </xdr:cNvPicPr>
      </xdr:nvPicPr>
      <xdr:blipFill>
        <a:blip xmlns:r="http://schemas.openxmlformats.org/officeDocument/2006/relationships" r:embed="rId2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4447572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302</xdr:row>
      <xdr:rowOff>269966</xdr:rowOff>
    </xdr:from>
    <xdr:to>
      <xdr:col>0</xdr:col>
      <xdr:colOff>1282465</xdr:colOff>
      <xdr:row>302</xdr:row>
      <xdr:rowOff>1051560</xdr:rowOff>
    </xdr:to>
    <xdr:pic>
      <xdr:nvPicPr>
        <xdr:cNvPr id="28231" name="Рисунок 11496"/>
        <xdr:cNvPicPr>
          <a:picLocks noChangeAspect="1" noChangeArrowheads="1"/>
        </xdr:cNvPicPr>
      </xdr:nvPicPr>
      <xdr:blipFill>
        <a:blip xmlns:r="http://schemas.openxmlformats.org/officeDocument/2006/relationships" r:embed="rId2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45985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303</xdr:row>
      <xdr:rowOff>244490</xdr:rowOff>
    </xdr:from>
    <xdr:to>
      <xdr:col>0</xdr:col>
      <xdr:colOff>1011356</xdr:colOff>
      <xdr:row>303</xdr:row>
      <xdr:rowOff>1104900</xdr:rowOff>
    </xdr:to>
    <xdr:pic>
      <xdr:nvPicPr>
        <xdr:cNvPr id="28232" name="Рисунок 11498"/>
        <xdr:cNvPicPr>
          <a:picLocks noChangeAspect="1" noChangeArrowheads="1"/>
        </xdr:cNvPicPr>
      </xdr:nvPicPr>
      <xdr:blipFill>
        <a:blip xmlns:r="http://schemas.openxmlformats.org/officeDocument/2006/relationships" r:embed="rId2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447484061"/>
          <a:ext cx="794730" cy="86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304</xdr:row>
      <xdr:rowOff>300446</xdr:rowOff>
    </xdr:from>
    <xdr:to>
      <xdr:col>0</xdr:col>
      <xdr:colOff>1282465</xdr:colOff>
      <xdr:row>304</xdr:row>
      <xdr:rowOff>1082040</xdr:rowOff>
    </xdr:to>
    <xdr:pic>
      <xdr:nvPicPr>
        <xdr:cNvPr id="28233" name="Рисунок 11500"/>
        <xdr:cNvPicPr>
          <a:picLocks noChangeAspect="1" noChangeArrowheads="1"/>
        </xdr:cNvPicPr>
      </xdr:nvPicPr>
      <xdr:blipFill>
        <a:blip xmlns:r="http://schemas.openxmlformats.org/officeDocument/2006/relationships" r:embed="rId2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4906401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305</xdr:row>
      <xdr:rowOff>291774</xdr:rowOff>
    </xdr:from>
    <xdr:to>
      <xdr:col>0</xdr:col>
      <xdr:colOff>1282465</xdr:colOff>
      <xdr:row>305</xdr:row>
      <xdr:rowOff>1066800</xdr:rowOff>
    </xdr:to>
    <xdr:pic>
      <xdr:nvPicPr>
        <xdr:cNvPr id="28234" name="Рисунок 11502"/>
        <xdr:cNvPicPr>
          <a:picLocks noChangeAspect="1" noChangeArrowheads="1"/>
        </xdr:cNvPicPr>
      </xdr:nvPicPr>
      <xdr:blipFill>
        <a:blip xmlns:r="http://schemas.openxmlformats.org/officeDocument/2006/relationships" r:embed="rId2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50579345"/>
          <a:ext cx="119537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306</xdr:row>
      <xdr:rowOff>239486</xdr:rowOff>
    </xdr:from>
    <xdr:to>
      <xdr:col>0</xdr:col>
      <xdr:colOff>1282465</xdr:colOff>
      <xdr:row>306</xdr:row>
      <xdr:rowOff>1021080</xdr:rowOff>
    </xdr:to>
    <xdr:pic>
      <xdr:nvPicPr>
        <xdr:cNvPr id="28235" name="Рисунок 11504"/>
        <xdr:cNvPicPr>
          <a:picLocks noChangeAspect="1" noChangeArrowheads="1"/>
        </xdr:cNvPicPr>
      </xdr:nvPicPr>
      <xdr:blipFill>
        <a:blip xmlns:r="http://schemas.openxmlformats.org/officeDocument/2006/relationships" r:embed="rId2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5205105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307</xdr:row>
      <xdr:rowOff>269966</xdr:rowOff>
    </xdr:from>
    <xdr:to>
      <xdr:col>0</xdr:col>
      <xdr:colOff>1282465</xdr:colOff>
      <xdr:row>307</xdr:row>
      <xdr:rowOff>1051560</xdr:rowOff>
    </xdr:to>
    <xdr:pic>
      <xdr:nvPicPr>
        <xdr:cNvPr id="28236" name="Рисунок 11506"/>
        <xdr:cNvPicPr>
          <a:picLocks noChangeAspect="1" noChangeArrowheads="1"/>
        </xdr:cNvPicPr>
      </xdr:nvPicPr>
      <xdr:blipFill>
        <a:blip xmlns:r="http://schemas.openxmlformats.org/officeDocument/2006/relationships" r:embed="rId2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453605537"/>
          <a:ext cx="1195379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148046</xdr:colOff>
      <xdr:row>356</xdr:row>
      <xdr:rowOff>317506</xdr:rowOff>
    </xdr:from>
    <xdr:to>
      <xdr:col>0</xdr:col>
      <xdr:colOff>1218633</xdr:colOff>
      <xdr:row>356</xdr:row>
      <xdr:rowOff>967740</xdr:rowOff>
    </xdr:to>
    <xdr:pic>
      <xdr:nvPicPr>
        <xdr:cNvPr id="28237" name="Рисунок 11510"/>
        <xdr:cNvPicPr>
          <a:picLocks noChangeAspect="1" noChangeArrowheads="1"/>
        </xdr:cNvPicPr>
      </xdr:nvPicPr>
      <xdr:blipFill>
        <a:blip xmlns:r="http://schemas.openxmlformats.org/officeDocument/2006/relationships" r:embed="rId2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46" y="528329077"/>
          <a:ext cx="1070587" cy="6502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358</xdr:row>
      <xdr:rowOff>259218</xdr:rowOff>
    </xdr:from>
    <xdr:to>
      <xdr:col>0</xdr:col>
      <xdr:colOff>1164780</xdr:colOff>
      <xdr:row>358</xdr:row>
      <xdr:rowOff>1211580</xdr:rowOff>
    </xdr:to>
    <xdr:pic>
      <xdr:nvPicPr>
        <xdr:cNvPr id="28238" name="Рисунок 11512"/>
        <xdr:cNvPicPr>
          <a:picLocks noChangeAspect="1" noChangeArrowheads="1"/>
        </xdr:cNvPicPr>
      </xdr:nvPicPr>
      <xdr:blipFill>
        <a:blip xmlns:r="http://schemas.openxmlformats.org/officeDocument/2006/relationships" r:embed="rId2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531318789"/>
          <a:ext cx="978634" cy="952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359</xdr:row>
      <xdr:rowOff>364534</xdr:rowOff>
    </xdr:from>
    <xdr:to>
      <xdr:col>0</xdr:col>
      <xdr:colOff>1203650</xdr:colOff>
      <xdr:row>359</xdr:row>
      <xdr:rowOff>975360</xdr:rowOff>
    </xdr:to>
    <xdr:pic>
      <xdr:nvPicPr>
        <xdr:cNvPr id="28239" name="Рисунок 11514"/>
        <xdr:cNvPicPr>
          <a:picLocks noChangeAspect="1" noChangeArrowheads="1"/>
        </xdr:cNvPicPr>
      </xdr:nvPicPr>
      <xdr:blipFill>
        <a:blip xmlns:r="http://schemas.openxmlformats.org/officeDocument/2006/relationships" r:embed="rId2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532948105"/>
          <a:ext cx="1116564" cy="610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15</xdr:row>
      <xdr:rowOff>308606</xdr:rowOff>
    </xdr:from>
    <xdr:to>
      <xdr:col>0</xdr:col>
      <xdr:colOff>1116444</xdr:colOff>
      <xdr:row>15</xdr:row>
      <xdr:rowOff>1188720</xdr:rowOff>
    </xdr:to>
    <xdr:pic>
      <xdr:nvPicPr>
        <xdr:cNvPr id="28240" name="Рисунок 11516"/>
        <xdr:cNvPicPr>
          <a:picLocks noChangeAspect="1" noChangeArrowheads="1"/>
        </xdr:cNvPicPr>
      </xdr:nvPicPr>
      <xdr:blipFill>
        <a:blip xmlns:r="http://schemas.openxmlformats.org/officeDocument/2006/relationships" r:embed="rId2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8636177"/>
          <a:ext cx="899818" cy="8801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224246</xdr:colOff>
      <xdr:row>16</xdr:row>
      <xdr:rowOff>286798</xdr:rowOff>
    </xdr:from>
    <xdr:to>
      <xdr:col>0</xdr:col>
      <xdr:colOff>1137200</xdr:colOff>
      <xdr:row>16</xdr:row>
      <xdr:rowOff>1173480</xdr:rowOff>
    </xdr:to>
    <xdr:pic>
      <xdr:nvPicPr>
        <xdr:cNvPr id="28241" name="Рисунок 11517"/>
        <xdr:cNvPicPr>
          <a:picLocks noChangeAspect="1" noChangeArrowheads="1"/>
        </xdr:cNvPicPr>
      </xdr:nvPicPr>
      <xdr:blipFill>
        <a:blip xmlns:r="http://schemas.openxmlformats.org/officeDocument/2006/relationships" r:embed="rId2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46" y="10138369"/>
          <a:ext cx="912954" cy="886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117566</xdr:colOff>
      <xdr:row>17</xdr:row>
      <xdr:rowOff>313838</xdr:rowOff>
    </xdr:from>
    <xdr:to>
      <xdr:col>0</xdr:col>
      <xdr:colOff>1266969</xdr:colOff>
      <xdr:row>17</xdr:row>
      <xdr:rowOff>1036320</xdr:rowOff>
    </xdr:to>
    <xdr:pic>
      <xdr:nvPicPr>
        <xdr:cNvPr id="28242" name="Рисунок 11519"/>
        <xdr:cNvPicPr>
          <a:picLocks noChangeAspect="1" noChangeArrowheads="1"/>
        </xdr:cNvPicPr>
      </xdr:nvPicPr>
      <xdr:blipFill>
        <a:blip xmlns:r="http://schemas.openxmlformats.org/officeDocument/2006/relationships" r:embed="rId2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66" y="11689409"/>
          <a:ext cx="1149403" cy="722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18</xdr:row>
      <xdr:rowOff>191918</xdr:rowOff>
    </xdr:from>
    <xdr:to>
      <xdr:col>0</xdr:col>
      <xdr:colOff>1243057</xdr:colOff>
      <xdr:row>18</xdr:row>
      <xdr:rowOff>914400</xdr:rowOff>
    </xdr:to>
    <xdr:pic>
      <xdr:nvPicPr>
        <xdr:cNvPr id="28243" name="Рисунок 11520"/>
        <xdr:cNvPicPr>
          <a:picLocks noChangeAspect="1" noChangeArrowheads="1"/>
        </xdr:cNvPicPr>
      </xdr:nvPicPr>
      <xdr:blipFill>
        <a:blip xmlns:r="http://schemas.openxmlformats.org/officeDocument/2006/relationships" r:embed="rId2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13091489"/>
          <a:ext cx="1155971" cy="7224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285206</xdr:colOff>
      <xdr:row>33</xdr:row>
      <xdr:rowOff>383214</xdr:rowOff>
    </xdr:from>
    <xdr:to>
      <xdr:col>0</xdr:col>
      <xdr:colOff>1224432</xdr:colOff>
      <xdr:row>33</xdr:row>
      <xdr:rowOff>1158240</xdr:rowOff>
    </xdr:to>
    <xdr:pic>
      <xdr:nvPicPr>
        <xdr:cNvPr id="28244" name="Рисунок 11522"/>
        <xdr:cNvPicPr>
          <a:picLocks noChangeAspect="1" noChangeArrowheads="1"/>
        </xdr:cNvPicPr>
      </xdr:nvPicPr>
      <xdr:blipFill>
        <a:blip xmlns:r="http://schemas.openxmlformats.org/officeDocument/2006/relationships" r:embed="rId2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206" y="36142785"/>
          <a:ext cx="939226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338546</xdr:colOff>
      <xdr:row>34</xdr:row>
      <xdr:rowOff>361406</xdr:rowOff>
    </xdr:from>
    <xdr:to>
      <xdr:col>0</xdr:col>
      <xdr:colOff>1133276</xdr:colOff>
      <xdr:row>34</xdr:row>
      <xdr:rowOff>1143000</xdr:rowOff>
    </xdr:to>
    <xdr:pic>
      <xdr:nvPicPr>
        <xdr:cNvPr id="28245" name="Рисунок 11524"/>
        <xdr:cNvPicPr>
          <a:picLocks noChangeAspect="1" noChangeArrowheads="1"/>
        </xdr:cNvPicPr>
      </xdr:nvPicPr>
      <xdr:blipFill>
        <a:blip xmlns:r="http://schemas.openxmlformats.org/officeDocument/2006/relationships" r:embed="rId2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546" y="37644977"/>
          <a:ext cx="794730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155666</xdr:colOff>
      <xdr:row>29</xdr:row>
      <xdr:rowOff>361406</xdr:rowOff>
    </xdr:from>
    <xdr:to>
      <xdr:col>0</xdr:col>
      <xdr:colOff>1134301</xdr:colOff>
      <xdr:row>29</xdr:row>
      <xdr:rowOff>1143000</xdr:rowOff>
    </xdr:to>
    <xdr:pic>
      <xdr:nvPicPr>
        <xdr:cNvPr id="28246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66" y="30024977"/>
          <a:ext cx="978635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125186</xdr:colOff>
      <xdr:row>30</xdr:row>
      <xdr:rowOff>322254</xdr:rowOff>
    </xdr:from>
    <xdr:to>
      <xdr:col>0</xdr:col>
      <xdr:colOff>1143229</xdr:colOff>
      <xdr:row>30</xdr:row>
      <xdr:rowOff>1097280</xdr:rowOff>
    </xdr:to>
    <xdr:pic>
      <xdr:nvPicPr>
        <xdr:cNvPr id="28247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2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86" y="31509825"/>
          <a:ext cx="1018043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247106</xdr:colOff>
      <xdr:row>36</xdr:row>
      <xdr:rowOff>300190</xdr:rowOff>
    </xdr:from>
    <xdr:to>
      <xdr:col>0</xdr:col>
      <xdr:colOff>1100948</xdr:colOff>
      <xdr:row>36</xdr:row>
      <xdr:rowOff>1127760</xdr:rowOff>
    </xdr:to>
    <xdr:pic>
      <xdr:nvPicPr>
        <xdr:cNvPr id="28248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2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6" y="40631761"/>
          <a:ext cx="853842" cy="827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224246</xdr:colOff>
      <xdr:row>127</xdr:row>
      <xdr:rowOff>352734</xdr:rowOff>
    </xdr:from>
    <xdr:to>
      <xdr:col>0</xdr:col>
      <xdr:colOff>1091224</xdr:colOff>
      <xdr:row>127</xdr:row>
      <xdr:rowOff>1127760</xdr:rowOff>
    </xdr:to>
    <xdr:pic>
      <xdr:nvPicPr>
        <xdr:cNvPr id="28249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46" y="179368305"/>
          <a:ext cx="866978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128</xdr:row>
      <xdr:rowOff>291774</xdr:rowOff>
    </xdr:from>
    <xdr:to>
      <xdr:col>0</xdr:col>
      <xdr:colOff>1057332</xdr:colOff>
      <xdr:row>128</xdr:row>
      <xdr:rowOff>1066800</xdr:rowOff>
    </xdr:to>
    <xdr:pic>
      <xdr:nvPicPr>
        <xdr:cNvPr id="28250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180831345"/>
          <a:ext cx="840706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129</xdr:row>
      <xdr:rowOff>284154</xdr:rowOff>
    </xdr:from>
    <xdr:to>
      <xdr:col>0</xdr:col>
      <xdr:colOff>1047608</xdr:colOff>
      <xdr:row>129</xdr:row>
      <xdr:rowOff>1059180</xdr:rowOff>
    </xdr:to>
    <xdr:pic>
      <xdr:nvPicPr>
        <xdr:cNvPr id="28251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2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182347725"/>
          <a:ext cx="853842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148046</xdr:colOff>
      <xdr:row>130</xdr:row>
      <xdr:rowOff>269966</xdr:rowOff>
    </xdr:from>
    <xdr:to>
      <xdr:col>0</xdr:col>
      <xdr:colOff>1061000</xdr:colOff>
      <xdr:row>130</xdr:row>
      <xdr:rowOff>1051560</xdr:rowOff>
    </xdr:to>
    <xdr:pic>
      <xdr:nvPicPr>
        <xdr:cNvPr id="28252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2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46" y="183857537"/>
          <a:ext cx="912954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224246</xdr:colOff>
      <xdr:row>131</xdr:row>
      <xdr:rowOff>291774</xdr:rowOff>
    </xdr:from>
    <xdr:to>
      <xdr:col>0</xdr:col>
      <xdr:colOff>1064952</xdr:colOff>
      <xdr:row>131</xdr:row>
      <xdr:rowOff>1066800</xdr:rowOff>
    </xdr:to>
    <xdr:pic>
      <xdr:nvPicPr>
        <xdr:cNvPr id="28253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2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246" y="185403345"/>
          <a:ext cx="840706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132</xdr:row>
      <xdr:rowOff>284154</xdr:rowOff>
    </xdr:from>
    <xdr:to>
      <xdr:col>0</xdr:col>
      <xdr:colOff>1045504</xdr:colOff>
      <xdr:row>132</xdr:row>
      <xdr:rowOff>1059180</xdr:rowOff>
    </xdr:to>
    <xdr:pic>
      <xdr:nvPicPr>
        <xdr:cNvPr id="28254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186919725"/>
          <a:ext cx="866978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133</xdr:row>
      <xdr:rowOff>291774</xdr:rowOff>
    </xdr:from>
    <xdr:to>
      <xdr:col>0</xdr:col>
      <xdr:colOff>1046556</xdr:colOff>
      <xdr:row>133</xdr:row>
      <xdr:rowOff>1066800</xdr:rowOff>
    </xdr:to>
    <xdr:pic>
      <xdr:nvPicPr>
        <xdr:cNvPr id="28255" name="Рисунок 14"/>
        <xdr:cNvPicPr>
          <a:picLocks noChangeAspect="1" noChangeArrowheads="1"/>
        </xdr:cNvPicPr>
      </xdr:nvPicPr>
      <xdr:blipFill>
        <a:blip xmlns:r="http://schemas.openxmlformats.org/officeDocument/2006/relationships" r:embed="rId3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188451345"/>
          <a:ext cx="860410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178526</xdr:colOff>
      <xdr:row>134</xdr:row>
      <xdr:rowOff>291774</xdr:rowOff>
    </xdr:from>
    <xdr:to>
      <xdr:col>0</xdr:col>
      <xdr:colOff>1019232</xdr:colOff>
      <xdr:row>134</xdr:row>
      <xdr:rowOff>1066800</xdr:rowOff>
    </xdr:to>
    <xdr:pic>
      <xdr:nvPicPr>
        <xdr:cNvPr id="28256" name="Рисунок 16"/>
        <xdr:cNvPicPr>
          <a:picLocks noChangeAspect="1" noChangeArrowheads="1"/>
        </xdr:cNvPicPr>
      </xdr:nvPicPr>
      <xdr:blipFill>
        <a:blip xmlns:r="http://schemas.openxmlformats.org/officeDocument/2006/relationships" r:embed="rId3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526" y="189975345"/>
          <a:ext cx="840706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135</xdr:row>
      <xdr:rowOff>284154</xdr:rowOff>
    </xdr:from>
    <xdr:to>
      <xdr:col>0</xdr:col>
      <xdr:colOff>791456</xdr:colOff>
      <xdr:row>135</xdr:row>
      <xdr:rowOff>1059180</xdr:rowOff>
    </xdr:to>
    <xdr:pic>
      <xdr:nvPicPr>
        <xdr:cNvPr id="28257" name="Рисунок 18"/>
        <xdr:cNvPicPr>
          <a:picLocks noChangeAspect="1" noChangeArrowheads="1"/>
        </xdr:cNvPicPr>
      </xdr:nvPicPr>
      <xdr:blipFill>
        <a:blip xmlns:r="http://schemas.openxmlformats.org/officeDocument/2006/relationships" r:embed="rId3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191491725"/>
          <a:ext cx="597690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148046</xdr:colOff>
      <xdr:row>136</xdr:row>
      <xdr:rowOff>284154</xdr:rowOff>
    </xdr:from>
    <xdr:to>
      <xdr:col>0</xdr:col>
      <xdr:colOff>982184</xdr:colOff>
      <xdr:row>136</xdr:row>
      <xdr:rowOff>1059180</xdr:rowOff>
    </xdr:to>
    <xdr:pic>
      <xdr:nvPicPr>
        <xdr:cNvPr id="28258" name="Рисунок 20"/>
        <xdr:cNvPicPr>
          <a:picLocks noChangeAspect="1" noChangeArrowheads="1"/>
        </xdr:cNvPicPr>
      </xdr:nvPicPr>
      <xdr:blipFill>
        <a:blip xmlns:r="http://schemas.openxmlformats.org/officeDocument/2006/relationships" r:embed="rId3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46" y="193015725"/>
          <a:ext cx="834138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137</xdr:row>
      <xdr:rowOff>322254</xdr:rowOff>
    </xdr:from>
    <xdr:to>
      <xdr:col>0</xdr:col>
      <xdr:colOff>1047608</xdr:colOff>
      <xdr:row>137</xdr:row>
      <xdr:rowOff>1097280</xdr:rowOff>
    </xdr:to>
    <xdr:pic>
      <xdr:nvPicPr>
        <xdr:cNvPr id="28259" name="Рисунок 22"/>
        <xdr:cNvPicPr>
          <a:picLocks noChangeAspect="1" noChangeArrowheads="1"/>
        </xdr:cNvPicPr>
      </xdr:nvPicPr>
      <xdr:blipFill>
        <a:blip xmlns:r="http://schemas.openxmlformats.org/officeDocument/2006/relationships" r:embed="rId2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194577825"/>
          <a:ext cx="853842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138</xdr:row>
      <xdr:rowOff>269966</xdr:rowOff>
    </xdr:from>
    <xdr:to>
      <xdr:col>0</xdr:col>
      <xdr:colOff>1021336</xdr:colOff>
      <xdr:row>138</xdr:row>
      <xdr:rowOff>1051560</xdr:rowOff>
    </xdr:to>
    <xdr:pic>
      <xdr:nvPicPr>
        <xdr:cNvPr id="28260" name="Рисунок 24"/>
        <xdr:cNvPicPr>
          <a:picLocks noChangeAspect="1" noChangeArrowheads="1"/>
        </xdr:cNvPicPr>
      </xdr:nvPicPr>
      <xdr:blipFill>
        <a:blip xmlns:r="http://schemas.openxmlformats.org/officeDocument/2006/relationships" r:embed="rId3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196049537"/>
          <a:ext cx="827570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148046</xdr:colOff>
      <xdr:row>139</xdr:row>
      <xdr:rowOff>300446</xdr:rowOff>
    </xdr:from>
    <xdr:to>
      <xdr:col>0</xdr:col>
      <xdr:colOff>1015024</xdr:colOff>
      <xdr:row>139</xdr:row>
      <xdr:rowOff>1082040</xdr:rowOff>
    </xdr:to>
    <xdr:pic>
      <xdr:nvPicPr>
        <xdr:cNvPr id="28261" name="Рисунок 26"/>
        <xdr:cNvPicPr>
          <a:picLocks noChangeAspect="1" noChangeArrowheads="1"/>
        </xdr:cNvPicPr>
      </xdr:nvPicPr>
      <xdr:blipFill>
        <a:blip xmlns:r="http://schemas.openxmlformats.org/officeDocument/2006/relationships" r:embed="rId3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46" y="197604017"/>
          <a:ext cx="866978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186146</xdr:colOff>
      <xdr:row>140</xdr:row>
      <xdr:rowOff>338546</xdr:rowOff>
    </xdr:from>
    <xdr:to>
      <xdr:col>0</xdr:col>
      <xdr:colOff>994012</xdr:colOff>
      <xdr:row>140</xdr:row>
      <xdr:rowOff>1120140</xdr:rowOff>
    </xdr:to>
    <xdr:pic>
      <xdr:nvPicPr>
        <xdr:cNvPr id="28262" name="Рисунок 28"/>
        <xdr:cNvPicPr>
          <a:picLocks noChangeAspect="1" noChangeArrowheads="1"/>
        </xdr:cNvPicPr>
      </xdr:nvPicPr>
      <xdr:blipFill>
        <a:blip xmlns:r="http://schemas.openxmlformats.org/officeDocument/2006/relationships" r:embed="rId3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6" y="199166117"/>
          <a:ext cx="807866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141</xdr:row>
      <xdr:rowOff>239486</xdr:rowOff>
    </xdr:from>
    <xdr:to>
      <xdr:col>0</xdr:col>
      <xdr:colOff>975360</xdr:colOff>
      <xdr:row>141</xdr:row>
      <xdr:rowOff>1021080</xdr:rowOff>
    </xdr:to>
    <xdr:pic>
      <xdr:nvPicPr>
        <xdr:cNvPr id="28263" name="Рисунок 30"/>
        <xdr:cNvPicPr>
          <a:picLocks noChangeAspect="1" noChangeArrowheads="1"/>
        </xdr:cNvPicPr>
      </xdr:nvPicPr>
      <xdr:blipFill>
        <a:blip xmlns:r="http://schemas.openxmlformats.org/officeDocument/2006/relationships" r:embed="rId3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200591057"/>
          <a:ext cx="781594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148046</xdr:colOff>
      <xdr:row>142</xdr:row>
      <xdr:rowOff>239486</xdr:rowOff>
    </xdr:from>
    <xdr:to>
      <xdr:col>0</xdr:col>
      <xdr:colOff>982184</xdr:colOff>
      <xdr:row>142</xdr:row>
      <xdr:rowOff>1021080</xdr:rowOff>
    </xdr:to>
    <xdr:pic>
      <xdr:nvPicPr>
        <xdr:cNvPr id="28264" name="Рисунок 32"/>
        <xdr:cNvPicPr>
          <a:picLocks noChangeAspect="1" noChangeArrowheads="1"/>
        </xdr:cNvPicPr>
      </xdr:nvPicPr>
      <xdr:blipFill>
        <a:blip xmlns:r="http://schemas.openxmlformats.org/officeDocument/2006/relationships" r:embed="rId3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46" y="202115057"/>
          <a:ext cx="834138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216626</xdr:colOff>
      <xdr:row>143</xdr:row>
      <xdr:rowOff>291774</xdr:rowOff>
    </xdr:from>
    <xdr:to>
      <xdr:col>0</xdr:col>
      <xdr:colOff>801180</xdr:colOff>
      <xdr:row>143</xdr:row>
      <xdr:rowOff>1066800</xdr:rowOff>
    </xdr:to>
    <xdr:pic>
      <xdr:nvPicPr>
        <xdr:cNvPr id="28265" name="Рисунок 34"/>
        <xdr:cNvPicPr>
          <a:picLocks noChangeAspect="1" noChangeArrowheads="1"/>
        </xdr:cNvPicPr>
      </xdr:nvPicPr>
      <xdr:blipFill>
        <a:blip xmlns:r="http://schemas.openxmlformats.org/officeDocument/2006/relationships" r:embed="rId3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626" y="203691345"/>
          <a:ext cx="584554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193766</xdr:colOff>
      <xdr:row>144</xdr:row>
      <xdr:rowOff>338546</xdr:rowOff>
    </xdr:from>
    <xdr:to>
      <xdr:col>0</xdr:col>
      <xdr:colOff>1073880</xdr:colOff>
      <xdr:row>144</xdr:row>
      <xdr:rowOff>1120140</xdr:rowOff>
    </xdr:to>
    <xdr:pic>
      <xdr:nvPicPr>
        <xdr:cNvPr id="28266" name="Рисунок 36"/>
        <xdr:cNvPicPr>
          <a:picLocks noChangeAspect="1" noChangeArrowheads="1"/>
        </xdr:cNvPicPr>
      </xdr:nvPicPr>
      <xdr:blipFill>
        <a:blip xmlns:r="http://schemas.openxmlformats.org/officeDocument/2006/relationships" r:embed="rId3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66" y="205262117"/>
          <a:ext cx="880114" cy="7815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155666</xdr:colOff>
      <xdr:row>145</xdr:row>
      <xdr:rowOff>439938</xdr:rowOff>
    </xdr:from>
    <xdr:to>
      <xdr:col>0</xdr:col>
      <xdr:colOff>1226252</xdr:colOff>
      <xdr:row>145</xdr:row>
      <xdr:rowOff>998219</xdr:rowOff>
    </xdr:to>
    <xdr:pic>
      <xdr:nvPicPr>
        <xdr:cNvPr id="28267" name="Рисунок 38"/>
        <xdr:cNvPicPr>
          <a:picLocks noChangeAspect="1" noChangeArrowheads="1"/>
        </xdr:cNvPicPr>
      </xdr:nvPicPr>
      <xdr:blipFill>
        <a:blip xmlns:r="http://schemas.openxmlformats.org/officeDocument/2006/relationships" r:embed="rId3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66" y="206887509"/>
          <a:ext cx="1070586" cy="558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146</xdr:row>
      <xdr:rowOff>555006</xdr:rowOff>
    </xdr:from>
    <xdr:to>
      <xdr:col>0</xdr:col>
      <xdr:colOff>1249625</xdr:colOff>
      <xdr:row>146</xdr:row>
      <xdr:rowOff>975359</xdr:rowOff>
    </xdr:to>
    <xdr:pic>
      <xdr:nvPicPr>
        <xdr:cNvPr id="28268" name="Рисунок 40"/>
        <xdr:cNvPicPr>
          <a:picLocks noChangeAspect="1" noChangeArrowheads="1"/>
        </xdr:cNvPicPr>
      </xdr:nvPicPr>
      <xdr:blipFill>
        <a:blip xmlns:r="http://schemas.openxmlformats.org/officeDocument/2006/relationships" r:embed="rId3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08526577"/>
          <a:ext cx="1162539" cy="420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147</xdr:row>
      <xdr:rowOff>568398</xdr:rowOff>
    </xdr:from>
    <xdr:to>
      <xdr:col>0</xdr:col>
      <xdr:colOff>1269329</xdr:colOff>
      <xdr:row>147</xdr:row>
      <xdr:rowOff>929639</xdr:rowOff>
    </xdr:to>
    <xdr:pic>
      <xdr:nvPicPr>
        <xdr:cNvPr id="28269" name="Рисунок 42"/>
        <xdr:cNvPicPr>
          <a:picLocks noChangeAspect="1" noChangeArrowheads="1"/>
        </xdr:cNvPicPr>
      </xdr:nvPicPr>
      <xdr:blipFill>
        <a:blip xmlns:r="http://schemas.openxmlformats.org/officeDocument/2006/relationships" r:embed="rId3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10063969"/>
          <a:ext cx="1182243" cy="361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87086</xdr:colOff>
      <xdr:row>148</xdr:row>
      <xdr:rowOff>571014</xdr:rowOff>
    </xdr:from>
    <xdr:to>
      <xdr:col>0</xdr:col>
      <xdr:colOff>1269330</xdr:colOff>
      <xdr:row>148</xdr:row>
      <xdr:rowOff>853439</xdr:rowOff>
    </xdr:to>
    <xdr:pic>
      <xdr:nvPicPr>
        <xdr:cNvPr id="28270" name="Рисунок 44"/>
        <xdr:cNvPicPr>
          <a:picLocks noChangeAspect="1" noChangeArrowheads="1"/>
        </xdr:cNvPicPr>
      </xdr:nvPicPr>
      <xdr:blipFill>
        <a:blip xmlns:r="http://schemas.openxmlformats.org/officeDocument/2006/relationships" r:embed="rId3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86" y="211590585"/>
          <a:ext cx="1182244" cy="28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452846</xdr:colOff>
      <xdr:row>149</xdr:row>
      <xdr:rowOff>291774</xdr:rowOff>
    </xdr:from>
    <xdr:to>
      <xdr:col>0</xdr:col>
      <xdr:colOff>984855</xdr:colOff>
      <xdr:row>149</xdr:row>
      <xdr:rowOff>1066800</xdr:rowOff>
    </xdr:to>
    <xdr:pic>
      <xdr:nvPicPr>
        <xdr:cNvPr id="28271" name="Рисунок 46"/>
        <xdr:cNvPicPr>
          <a:picLocks noChangeAspect="1" noChangeArrowheads="1"/>
        </xdr:cNvPicPr>
      </xdr:nvPicPr>
      <xdr:blipFill>
        <a:blip xmlns:r="http://schemas.openxmlformats.org/officeDocument/2006/relationships" r:embed="rId3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846" y="212835345"/>
          <a:ext cx="53200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468086</xdr:colOff>
      <xdr:row>150</xdr:row>
      <xdr:rowOff>291774</xdr:rowOff>
    </xdr:from>
    <xdr:to>
      <xdr:col>0</xdr:col>
      <xdr:colOff>1000095</xdr:colOff>
      <xdr:row>150</xdr:row>
      <xdr:rowOff>1066800</xdr:rowOff>
    </xdr:to>
    <xdr:pic>
      <xdr:nvPicPr>
        <xdr:cNvPr id="28272" name="Рисунок 48"/>
        <xdr:cNvPicPr>
          <a:picLocks noChangeAspect="1" noChangeArrowheads="1"/>
        </xdr:cNvPicPr>
      </xdr:nvPicPr>
      <xdr:blipFill>
        <a:blip xmlns:r="http://schemas.openxmlformats.org/officeDocument/2006/relationships" r:embed="rId3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086" y="214359345"/>
          <a:ext cx="532009" cy="775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U460"/>
  <sheetViews>
    <sheetView tabSelected="1" zoomScale="70" zoomScaleNormal="70" zoomScaleSheetLayoutView="25" workbookViewId="0">
      <pane ySplit="1" topLeftCell="A114" activePane="bottomLeft" state="frozen"/>
      <selection pane="bottomLeft" activeCell="B115" sqref="B115"/>
    </sheetView>
  </sheetViews>
  <sheetFormatPr defaultColWidth="9.109375" defaultRowHeight="15.6" x14ac:dyDescent="0.3"/>
  <cols>
    <col min="1" max="1" width="20.5546875" style="3" customWidth="1"/>
    <col min="2" max="2" width="84.33203125" style="3" customWidth="1"/>
    <col min="3" max="3" width="16.33203125" style="35" customWidth="1"/>
    <col min="4" max="4" width="13.88671875" style="3" customWidth="1"/>
    <col min="5" max="5" width="20.88671875" style="3" customWidth="1"/>
    <col min="6" max="6" width="12.44140625" style="21" customWidth="1"/>
    <col min="7" max="7" width="18.44140625" style="39" customWidth="1"/>
    <col min="8" max="8" width="17.88671875" style="28" customWidth="1"/>
    <col min="9" max="9" width="15" style="21" bestFit="1" customWidth="1"/>
    <col min="10" max="10" width="22.44140625" style="28" customWidth="1"/>
    <col min="11" max="11" width="12.109375" style="21" bestFit="1" customWidth="1"/>
    <col min="12" max="12" width="12.109375" style="45" customWidth="1"/>
    <col min="13" max="13" width="10.5546875" style="45" customWidth="1"/>
    <col min="14" max="14" width="11" style="46" customWidth="1"/>
    <col min="15" max="15" width="13.5546875" style="46" customWidth="1"/>
    <col min="16" max="16" width="9.33203125" style="45" bestFit="1" customWidth="1"/>
    <col min="17" max="17" width="10.88671875" style="45" customWidth="1"/>
    <col min="18" max="18" width="30" style="3" customWidth="1"/>
    <col min="19" max="19" width="22.5546875" style="3" customWidth="1"/>
    <col min="20" max="21" width="7" style="3" customWidth="1"/>
    <col min="22" max="16384" width="9.109375" style="3"/>
  </cols>
  <sheetData>
    <row r="2" spans="1:21" x14ac:dyDescent="0.3">
      <c r="B2" s="2"/>
      <c r="R2" s="13" t="s">
        <v>7</v>
      </c>
    </row>
    <row r="3" spans="1:21" ht="20.399999999999999" x14ac:dyDescent="0.35">
      <c r="A3" s="126" t="s">
        <v>19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8"/>
      <c r="U3" s="18"/>
    </row>
    <row r="5" spans="1:21" x14ac:dyDescent="0.3">
      <c r="B5" s="8" t="s">
        <v>27</v>
      </c>
      <c r="L5" s="47" t="s">
        <v>8</v>
      </c>
      <c r="M5" s="47" t="s">
        <v>8</v>
      </c>
    </row>
    <row r="6" spans="1:21" x14ac:dyDescent="0.3">
      <c r="L6" s="47" t="s">
        <v>20</v>
      </c>
      <c r="M6" s="47" t="s">
        <v>20</v>
      </c>
    </row>
    <row r="7" spans="1:21" x14ac:dyDescent="0.3">
      <c r="B7" s="8" t="s">
        <v>48</v>
      </c>
      <c r="D7" s="125" t="s">
        <v>224</v>
      </c>
      <c r="E7" s="125"/>
      <c r="F7" s="125"/>
      <c r="L7" s="47" t="s">
        <v>21</v>
      </c>
      <c r="M7" s="47" t="s">
        <v>21</v>
      </c>
    </row>
    <row r="8" spans="1:21" x14ac:dyDescent="0.3">
      <c r="L8" s="47" t="s">
        <v>22</v>
      </c>
      <c r="M8" s="47" t="s">
        <v>22</v>
      </c>
    </row>
    <row r="9" spans="1:21" x14ac:dyDescent="0.3">
      <c r="L9" s="47" t="s">
        <v>23</v>
      </c>
      <c r="M9" s="47" t="s">
        <v>23</v>
      </c>
    </row>
    <row r="10" spans="1:21" x14ac:dyDescent="0.3">
      <c r="L10" s="47" t="s">
        <v>26</v>
      </c>
      <c r="M10" s="47" t="s">
        <v>26</v>
      </c>
    </row>
    <row r="11" spans="1:21" ht="16.2" thickBot="1" x14ac:dyDescent="0.35">
      <c r="D11" s="1"/>
      <c r="E11" s="1"/>
      <c r="F11" s="32"/>
      <c r="G11" s="40"/>
      <c r="H11" s="33"/>
      <c r="I11" s="22"/>
      <c r="N11" s="45"/>
      <c r="O11" s="45"/>
    </row>
    <row r="12" spans="1:21" s="17" customFormat="1" ht="120" customHeight="1" thickBot="1" x14ac:dyDescent="0.3">
      <c r="A12" s="87"/>
      <c r="B12" s="92" t="s">
        <v>64</v>
      </c>
      <c r="C12" s="96">
        <v>10001</v>
      </c>
      <c r="D12" s="92" t="s">
        <v>159</v>
      </c>
      <c r="E12" s="92" t="s">
        <v>469</v>
      </c>
      <c r="F12" s="103" t="s">
        <v>158</v>
      </c>
      <c r="G12" s="103">
        <v>50</v>
      </c>
      <c r="H12" s="105">
        <v>39.69</v>
      </c>
      <c r="I12" s="110">
        <v>0.2</v>
      </c>
      <c r="J12" s="105">
        <v>59.534999999999997</v>
      </c>
      <c r="K12" s="110">
        <f t="shared" ref="K12:K75" si="0">+J12/H12-1</f>
        <v>0.5</v>
      </c>
      <c r="L12" s="113">
        <v>59.534999999999997</v>
      </c>
      <c r="M12" s="118">
        <v>59.534999999999997</v>
      </c>
      <c r="N12" s="113">
        <v>59.534999999999997</v>
      </c>
      <c r="O12" s="113">
        <v>59.534999999999997</v>
      </c>
      <c r="P12" s="113">
        <v>59.534999999999997</v>
      </c>
      <c r="Q12" s="121">
        <v>59.534999999999997</v>
      </c>
      <c r="R12" s="87" t="s">
        <v>301</v>
      </c>
      <c r="S12" s="87"/>
    </row>
    <row r="13" spans="1:21" s="7" customFormat="1" ht="120" customHeight="1" thickBot="1" x14ac:dyDescent="0.3">
      <c r="A13" s="89"/>
      <c r="B13" s="93" t="s">
        <v>66</v>
      </c>
      <c r="C13" s="98">
        <v>10002</v>
      </c>
      <c r="D13" s="93" t="s">
        <v>159</v>
      </c>
      <c r="E13" s="93" t="s">
        <v>466</v>
      </c>
      <c r="F13" s="98" t="s">
        <v>158</v>
      </c>
      <c r="G13" s="98">
        <v>100</v>
      </c>
      <c r="H13" s="107">
        <v>61.07</v>
      </c>
      <c r="I13" s="111">
        <v>0.2</v>
      </c>
      <c r="J13" s="107">
        <v>91.602000000000004</v>
      </c>
      <c r="K13" s="111">
        <f t="shared" si="0"/>
        <v>0.49995087604388422</v>
      </c>
      <c r="L13" s="114">
        <v>91.602000000000004</v>
      </c>
      <c r="M13" s="118">
        <v>91.602000000000004</v>
      </c>
      <c r="N13" s="113">
        <v>91.602000000000004</v>
      </c>
      <c r="O13" s="113">
        <v>91.602000000000004</v>
      </c>
      <c r="P13" s="113">
        <v>91.602000000000004</v>
      </c>
      <c r="Q13" s="121">
        <v>91.602000000000004</v>
      </c>
      <c r="R13" s="89" t="s">
        <v>301</v>
      </c>
      <c r="S13" s="89"/>
    </row>
    <row r="14" spans="1:21" s="4" customFormat="1" ht="120" customHeight="1" x14ac:dyDescent="0.3">
      <c r="A14" s="91"/>
      <c r="B14" s="95" t="s">
        <v>74</v>
      </c>
      <c r="C14" s="100">
        <v>10003</v>
      </c>
      <c r="D14" s="95" t="s">
        <v>159</v>
      </c>
      <c r="E14" s="95" t="s">
        <v>473</v>
      </c>
      <c r="F14" s="100" t="s">
        <v>158</v>
      </c>
      <c r="G14" s="100">
        <v>50</v>
      </c>
      <c r="H14" s="109">
        <v>64.13000000000001</v>
      </c>
      <c r="I14" s="112">
        <v>0.2</v>
      </c>
      <c r="J14" s="109">
        <v>96.185250000000011</v>
      </c>
      <c r="K14" s="112">
        <f t="shared" si="0"/>
        <v>0.49984796507094953</v>
      </c>
      <c r="L14" s="116">
        <v>96.185250000000011</v>
      </c>
      <c r="M14" s="116">
        <v>96.185250000000011</v>
      </c>
      <c r="N14" s="114">
        <v>96.185250000000011</v>
      </c>
      <c r="O14" s="116">
        <v>96.185250000000011</v>
      </c>
      <c r="P14" s="114">
        <v>96.185250000000011</v>
      </c>
      <c r="Q14" s="116">
        <v>96.185250000000011</v>
      </c>
      <c r="R14" s="91" t="s">
        <v>301</v>
      </c>
      <c r="S14" s="91"/>
    </row>
    <row r="15" spans="1:21" s="62" customFormat="1" ht="120" customHeight="1" x14ac:dyDescent="0.25">
      <c r="A15" s="67"/>
      <c r="B15" s="59" t="s">
        <v>73</v>
      </c>
      <c r="C15" s="60">
        <v>10004</v>
      </c>
      <c r="D15" s="59" t="s">
        <v>159</v>
      </c>
      <c r="E15" s="59" t="s">
        <v>473</v>
      </c>
      <c r="F15" s="60" t="s">
        <v>158</v>
      </c>
      <c r="G15" s="60">
        <v>50</v>
      </c>
      <c r="H15" s="61">
        <v>48.86</v>
      </c>
      <c r="I15" s="79">
        <v>0.2</v>
      </c>
      <c r="J15" s="61">
        <v>73.284750000000003</v>
      </c>
      <c r="K15" s="79">
        <f t="shared" si="0"/>
        <v>0.4998925501432665</v>
      </c>
      <c r="L15" s="68">
        <v>73.284750000000003</v>
      </c>
      <c r="M15" s="68">
        <v>73.284750000000003</v>
      </c>
      <c r="N15" s="68">
        <v>73.284750000000003</v>
      </c>
      <c r="O15" s="68">
        <v>73.284750000000003</v>
      </c>
      <c r="P15" s="68">
        <v>73.284750000000003</v>
      </c>
      <c r="Q15" s="68">
        <v>73.284750000000003</v>
      </c>
      <c r="R15" s="67" t="s">
        <v>301</v>
      </c>
      <c r="S15" s="67"/>
    </row>
    <row r="16" spans="1:21" s="62" customFormat="1" ht="120" customHeight="1" x14ac:dyDescent="0.25">
      <c r="A16" s="69"/>
      <c r="B16" s="69" t="s">
        <v>297</v>
      </c>
      <c r="C16" s="70">
        <v>10005</v>
      </c>
      <c r="D16" s="69" t="s">
        <v>159</v>
      </c>
      <c r="E16" s="69" t="s">
        <v>304</v>
      </c>
      <c r="F16" s="70" t="s">
        <v>158</v>
      </c>
      <c r="G16" s="70">
        <v>14</v>
      </c>
      <c r="H16" s="61">
        <v>347.28</v>
      </c>
      <c r="I16" s="79">
        <v>0.2</v>
      </c>
      <c r="J16" s="61">
        <v>520.91550000000007</v>
      </c>
      <c r="K16" s="79">
        <f t="shared" si="0"/>
        <v>0.49998704215618561</v>
      </c>
      <c r="L16" s="68">
        <v>520.91550000000007</v>
      </c>
      <c r="M16" s="68">
        <v>520.91550000000007</v>
      </c>
      <c r="N16" s="71">
        <v>520.91550000000007</v>
      </c>
      <c r="O16" s="71">
        <v>520.91550000000007</v>
      </c>
      <c r="P16" s="68">
        <v>520.91550000000007</v>
      </c>
      <c r="Q16" s="68">
        <v>520.91550000000007</v>
      </c>
      <c r="R16" s="69" t="s">
        <v>294</v>
      </c>
      <c r="S16" s="69"/>
    </row>
    <row r="17" spans="1:19" s="62" customFormat="1" ht="120" customHeight="1" x14ac:dyDescent="0.25">
      <c r="A17" s="69"/>
      <c r="B17" s="69" t="s">
        <v>298</v>
      </c>
      <c r="C17" s="70">
        <v>10006</v>
      </c>
      <c r="D17" s="69" t="s">
        <v>159</v>
      </c>
      <c r="E17" s="69" t="s">
        <v>304</v>
      </c>
      <c r="F17" s="70" t="s">
        <v>158</v>
      </c>
      <c r="G17" s="70">
        <v>17</v>
      </c>
      <c r="H17" s="61">
        <v>498.4</v>
      </c>
      <c r="I17" s="79">
        <v>0.2</v>
      </c>
      <c r="J17" s="61">
        <v>747.58950000000004</v>
      </c>
      <c r="K17" s="79">
        <f t="shared" si="0"/>
        <v>0.49997893258426984</v>
      </c>
      <c r="L17" s="68">
        <v>747.58950000000004</v>
      </c>
      <c r="M17" s="68">
        <v>747.58950000000004</v>
      </c>
      <c r="N17" s="71">
        <v>747.58950000000004</v>
      </c>
      <c r="O17" s="71">
        <v>747.58950000000004</v>
      </c>
      <c r="P17" s="68">
        <v>747.58950000000004</v>
      </c>
      <c r="Q17" s="68">
        <v>747.58950000000004</v>
      </c>
      <c r="R17" s="69" t="s">
        <v>294</v>
      </c>
      <c r="S17" s="69"/>
    </row>
    <row r="18" spans="1:19" s="62" customFormat="1" ht="120" customHeight="1" x14ac:dyDescent="0.25">
      <c r="A18" s="69"/>
      <c r="B18" s="69" t="s">
        <v>299</v>
      </c>
      <c r="C18" s="70">
        <v>10007</v>
      </c>
      <c r="D18" s="69" t="s">
        <v>159</v>
      </c>
      <c r="E18" s="69" t="s">
        <v>304</v>
      </c>
      <c r="F18" s="70" t="s">
        <v>158</v>
      </c>
      <c r="G18" s="70">
        <v>14</v>
      </c>
      <c r="H18" s="61">
        <v>241.20999999999998</v>
      </c>
      <c r="I18" s="79">
        <v>0.2</v>
      </c>
      <c r="J18" s="61">
        <v>361.80900000000003</v>
      </c>
      <c r="K18" s="79">
        <f t="shared" si="0"/>
        <v>0.49997512540939448</v>
      </c>
      <c r="L18" s="68">
        <v>361.80900000000003</v>
      </c>
      <c r="M18" s="68">
        <v>361.80900000000003</v>
      </c>
      <c r="N18" s="71">
        <v>361.80900000000003</v>
      </c>
      <c r="O18" s="71">
        <v>361.80900000000003</v>
      </c>
      <c r="P18" s="68">
        <v>361.80900000000003</v>
      </c>
      <c r="Q18" s="68">
        <v>361.80900000000003</v>
      </c>
      <c r="R18" s="69" t="s">
        <v>294</v>
      </c>
      <c r="S18" s="69"/>
    </row>
    <row r="19" spans="1:19" s="62" customFormat="1" ht="120" customHeight="1" x14ac:dyDescent="0.25">
      <c r="A19" s="69"/>
      <c r="B19" s="69" t="s">
        <v>300</v>
      </c>
      <c r="C19" s="70">
        <v>10008</v>
      </c>
      <c r="D19" s="69" t="s">
        <v>159</v>
      </c>
      <c r="E19" s="69" t="s">
        <v>304</v>
      </c>
      <c r="F19" s="70" t="s">
        <v>158</v>
      </c>
      <c r="G19" s="70">
        <v>18</v>
      </c>
      <c r="H19" s="61">
        <v>329.84999999999997</v>
      </c>
      <c r="I19" s="79">
        <v>0.2</v>
      </c>
      <c r="J19" s="61">
        <v>494.77049999999997</v>
      </c>
      <c r="K19" s="79">
        <f t="shared" si="0"/>
        <v>0.49998635743519793</v>
      </c>
      <c r="L19" s="68">
        <v>494.77049999999997</v>
      </c>
      <c r="M19" s="68">
        <v>494.77049999999997</v>
      </c>
      <c r="N19" s="71">
        <v>494.77049999999997</v>
      </c>
      <c r="O19" s="71">
        <v>494.77049999999997</v>
      </c>
      <c r="P19" s="68">
        <v>494.77049999999997</v>
      </c>
      <c r="Q19" s="68">
        <v>494.77049999999997</v>
      </c>
      <c r="R19" s="69" t="s">
        <v>294</v>
      </c>
      <c r="S19" s="69"/>
    </row>
    <row r="20" spans="1:19" s="62" customFormat="1" ht="120" customHeight="1" x14ac:dyDescent="0.25">
      <c r="A20" s="67"/>
      <c r="B20" s="59" t="s">
        <v>70</v>
      </c>
      <c r="C20" s="60">
        <v>10009</v>
      </c>
      <c r="D20" s="59" t="s">
        <v>159</v>
      </c>
      <c r="E20" s="59" t="s">
        <v>472</v>
      </c>
      <c r="F20" s="60" t="s">
        <v>158</v>
      </c>
      <c r="G20" s="60">
        <v>125</v>
      </c>
      <c r="H20" s="61">
        <v>50.379999999999995</v>
      </c>
      <c r="I20" s="79">
        <v>0.2</v>
      </c>
      <c r="J20" s="61">
        <v>75.5685</v>
      </c>
      <c r="K20" s="79">
        <f t="shared" si="0"/>
        <v>0.4999702262802701</v>
      </c>
      <c r="L20" s="68">
        <v>75.5685</v>
      </c>
      <c r="M20" s="68">
        <v>75.5685</v>
      </c>
      <c r="N20" s="68">
        <v>75.5685</v>
      </c>
      <c r="O20" s="68">
        <v>75.5685</v>
      </c>
      <c r="P20" s="68">
        <v>75.5685</v>
      </c>
      <c r="Q20" s="68">
        <v>75.5685</v>
      </c>
      <c r="R20" s="67" t="s">
        <v>301</v>
      </c>
      <c r="S20" s="67"/>
    </row>
    <row r="21" spans="1:19" s="62" customFormat="1" ht="120" customHeight="1" x14ac:dyDescent="0.25">
      <c r="A21" s="67"/>
      <c r="B21" s="59" t="s">
        <v>68</v>
      </c>
      <c r="C21" s="60">
        <v>10014</v>
      </c>
      <c r="D21" s="59" t="s">
        <v>159</v>
      </c>
      <c r="E21" s="59" t="s">
        <v>468</v>
      </c>
      <c r="F21" s="60" t="s">
        <v>158</v>
      </c>
      <c r="G21" s="60">
        <v>60</v>
      </c>
      <c r="H21" s="61">
        <v>42.75</v>
      </c>
      <c r="I21" s="79">
        <v>0.2</v>
      </c>
      <c r="J21" s="61">
        <v>64.118250000000003</v>
      </c>
      <c r="K21" s="79">
        <f t="shared" si="0"/>
        <v>0.49984210526315787</v>
      </c>
      <c r="L21" s="68">
        <v>64.118250000000003</v>
      </c>
      <c r="M21" s="68">
        <v>64.118250000000003</v>
      </c>
      <c r="N21" s="68">
        <v>64.118250000000003</v>
      </c>
      <c r="O21" s="68">
        <v>64.118250000000003</v>
      </c>
      <c r="P21" s="68">
        <v>64.118250000000003</v>
      </c>
      <c r="Q21" s="68">
        <v>64.118250000000003</v>
      </c>
      <c r="R21" s="67" t="s">
        <v>301</v>
      </c>
      <c r="S21" s="67"/>
    </row>
    <row r="22" spans="1:19" s="62" customFormat="1" ht="120" customHeight="1" x14ac:dyDescent="0.25">
      <c r="A22" s="67"/>
      <c r="B22" s="59" t="s">
        <v>61</v>
      </c>
      <c r="C22" s="60">
        <v>10015</v>
      </c>
      <c r="D22" s="59" t="s">
        <v>159</v>
      </c>
      <c r="E22" s="59" t="s">
        <v>474</v>
      </c>
      <c r="F22" s="60" t="s">
        <v>158</v>
      </c>
      <c r="G22" s="60">
        <v>50</v>
      </c>
      <c r="H22" s="61">
        <v>215.28</v>
      </c>
      <c r="I22" s="79">
        <v>0.2</v>
      </c>
      <c r="J22" s="61">
        <v>322.90650000000005</v>
      </c>
      <c r="K22" s="79">
        <f t="shared" si="0"/>
        <v>0.49993729096989981</v>
      </c>
      <c r="L22" s="68">
        <v>322.90650000000005</v>
      </c>
      <c r="M22" s="68">
        <v>322.90650000000005</v>
      </c>
      <c r="N22" s="68">
        <v>322.90650000000005</v>
      </c>
      <c r="O22" s="68">
        <v>322.90650000000005</v>
      </c>
      <c r="P22" s="68">
        <v>322.90650000000005</v>
      </c>
      <c r="Q22" s="68">
        <v>322.90650000000005</v>
      </c>
      <c r="R22" s="67" t="s">
        <v>302</v>
      </c>
      <c r="S22" s="67"/>
    </row>
    <row r="23" spans="1:19" s="62" customFormat="1" ht="120" customHeight="1" x14ac:dyDescent="0.25">
      <c r="A23" s="67"/>
      <c r="B23" s="59" t="s">
        <v>71</v>
      </c>
      <c r="C23" s="60">
        <v>10026</v>
      </c>
      <c r="D23" s="59" t="s">
        <v>159</v>
      </c>
      <c r="E23" s="59" t="s">
        <v>471</v>
      </c>
      <c r="F23" s="60" t="s">
        <v>158</v>
      </c>
      <c r="G23" s="60">
        <v>20</v>
      </c>
      <c r="H23" s="61">
        <v>183.22</v>
      </c>
      <c r="I23" s="79">
        <v>0.2</v>
      </c>
      <c r="J23" s="61">
        <v>274.82175000000001</v>
      </c>
      <c r="K23" s="79">
        <f t="shared" si="0"/>
        <v>0.49995497216461082</v>
      </c>
      <c r="L23" s="68">
        <v>274.82175000000001</v>
      </c>
      <c r="M23" s="68">
        <v>274.82175000000001</v>
      </c>
      <c r="N23" s="68">
        <v>274.82175000000001</v>
      </c>
      <c r="O23" s="68">
        <v>274.82175000000001</v>
      </c>
      <c r="P23" s="68">
        <v>274.82175000000001</v>
      </c>
      <c r="Q23" s="68">
        <v>274.82175000000001</v>
      </c>
      <c r="R23" s="67" t="s">
        <v>301</v>
      </c>
      <c r="S23" s="67"/>
    </row>
    <row r="24" spans="1:19" s="62" customFormat="1" ht="120" customHeight="1" x14ac:dyDescent="0.25">
      <c r="A24" s="67"/>
      <c r="B24" s="59" t="s">
        <v>75</v>
      </c>
      <c r="C24" s="60">
        <v>10027</v>
      </c>
      <c r="D24" s="59" t="s">
        <v>159</v>
      </c>
      <c r="E24" s="59" t="s">
        <v>466</v>
      </c>
      <c r="F24" s="60" t="s">
        <v>158</v>
      </c>
      <c r="G24" s="60">
        <v>50</v>
      </c>
      <c r="H24" s="61">
        <v>50.379999999999995</v>
      </c>
      <c r="I24" s="79">
        <v>0.2</v>
      </c>
      <c r="J24" s="61">
        <v>75.5685</v>
      </c>
      <c r="K24" s="79">
        <f t="shared" si="0"/>
        <v>0.4999702262802701</v>
      </c>
      <c r="L24" s="68">
        <v>75.5685</v>
      </c>
      <c r="M24" s="68">
        <v>75.5685</v>
      </c>
      <c r="N24" s="68">
        <v>75.5685</v>
      </c>
      <c r="O24" s="68">
        <v>75.5685</v>
      </c>
      <c r="P24" s="68">
        <v>75.5685</v>
      </c>
      <c r="Q24" s="68">
        <v>75.5685</v>
      </c>
      <c r="R24" s="67" t="s">
        <v>301</v>
      </c>
      <c r="S24" s="67"/>
    </row>
    <row r="25" spans="1:19" s="62" customFormat="1" ht="120" customHeight="1" x14ac:dyDescent="0.25">
      <c r="A25" s="67"/>
      <c r="B25" s="59" t="s">
        <v>59</v>
      </c>
      <c r="C25" s="60">
        <v>10030</v>
      </c>
      <c r="D25" s="59" t="s">
        <v>159</v>
      </c>
      <c r="E25" s="59" t="s">
        <v>467</v>
      </c>
      <c r="F25" s="60" t="s">
        <v>158</v>
      </c>
      <c r="G25" s="60">
        <v>20</v>
      </c>
      <c r="H25" s="61">
        <v>132.84</v>
      </c>
      <c r="I25" s="79">
        <v>0.2</v>
      </c>
      <c r="J25" s="61">
        <v>199.25325000000004</v>
      </c>
      <c r="K25" s="79">
        <f t="shared" si="0"/>
        <v>0.49994918699187019</v>
      </c>
      <c r="L25" s="68">
        <v>199.25325000000004</v>
      </c>
      <c r="M25" s="68">
        <v>199.25325000000004</v>
      </c>
      <c r="N25" s="68">
        <v>199.25325000000004</v>
      </c>
      <c r="O25" s="68">
        <v>199.25325000000004</v>
      </c>
      <c r="P25" s="68">
        <v>199.25325000000004</v>
      </c>
      <c r="Q25" s="68">
        <v>199.25325000000004</v>
      </c>
      <c r="R25" s="67" t="s">
        <v>302</v>
      </c>
      <c r="S25" s="67"/>
    </row>
    <row r="26" spans="1:19" s="62" customFormat="1" ht="120" customHeight="1" x14ac:dyDescent="0.25">
      <c r="A26" s="67"/>
      <c r="B26" s="59" t="s">
        <v>60</v>
      </c>
      <c r="C26" s="60">
        <v>10031</v>
      </c>
      <c r="D26" s="59" t="s">
        <v>159</v>
      </c>
      <c r="E26" s="59" t="s">
        <v>467</v>
      </c>
      <c r="F26" s="60" t="s">
        <v>158</v>
      </c>
      <c r="G26" s="60">
        <v>20</v>
      </c>
      <c r="H26" s="61">
        <v>172.53</v>
      </c>
      <c r="I26" s="79">
        <v>0.2</v>
      </c>
      <c r="J26" s="61">
        <v>258.78825000000006</v>
      </c>
      <c r="K26" s="79">
        <f t="shared" si="0"/>
        <v>0.49996087636932751</v>
      </c>
      <c r="L26" s="68">
        <v>258.78825000000006</v>
      </c>
      <c r="M26" s="68">
        <v>258.78825000000006</v>
      </c>
      <c r="N26" s="68">
        <v>258.78825000000006</v>
      </c>
      <c r="O26" s="68">
        <v>258.78825000000006</v>
      </c>
      <c r="P26" s="68">
        <v>258.78825000000006</v>
      </c>
      <c r="Q26" s="68">
        <v>258.78825000000006</v>
      </c>
      <c r="R26" s="67" t="s">
        <v>302</v>
      </c>
      <c r="S26" s="67"/>
    </row>
    <row r="27" spans="1:19" s="63" customFormat="1" ht="120" customHeight="1" x14ac:dyDescent="0.25">
      <c r="A27" s="67"/>
      <c r="B27" s="59" t="s">
        <v>62</v>
      </c>
      <c r="C27" s="60">
        <v>10032</v>
      </c>
      <c r="D27" s="59" t="s">
        <v>159</v>
      </c>
      <c r="E27" s="59" t="s">
        <v>470</v>
      </c>
      <c r="F27" s="60" t="s">
        <v>158</v>
      </c>
      <c r="G27" s="60">
        <v>20</v>
      </c>
      <c r="H27" s="61">
        <v>154.20999999999998</v>
      </c>
      <c r="I27" s="79">
        <v>0.2</v>
      </c>
      <c r="J27" s="61">
        <v>231.30450000000005</v>
      </c>
      <c r="K27" s="79">
        <f t="shared" si="0"/>
        <v>0.49993191103041368</v>
      </c>
      <c r="L27" s="68">
        <v>231.30450000000005</v>
      </c>
      <c r="M27" s="68">
        <v>231.30450000000005</v>
      </c>
      <c r="N27" s="68">
        <v>231.30450000000005</v>
      </c>
      <c r="O27" s="68">
        <v>231.30450000000005</v>
      </c>
      <c r="P27" s="68">
        <v>231.30450000000005</v>
      </c>
      <c r="Q27" s="68">
        <v>231.30450000000005</v>
      </c>
      <c r="R27" s="67" t="s">
        <v>302</v>
      </c>
      <c r="S27" s="67"/>
    </row>
    <row r="28" spans="1:19" s="63" customFormat="1" ht="120" customHeight="1" x14ac:dyDescent="0.25">
      <c r="A28" s="67"/>
      <c r="B28" s="59" t="s">
        <v>63</v>
      </c>
      <c r="C28" s="60">
        <v>10033</v>
      </c>
      <c r="D28" s="59" t="s">
        <v>159</v>
      </c>
      <c r="E28" s="59" t="s">
        <v>470</v>
      </c>
      <c r="F28" s="60" t="s">
        <v>158</v>
      </c>
      <c r="G28" s="60">
        <v>20</v>
      </c>
      <c r="H28" s="61">
        <v>192.38</v>
      </c>
      <c r="I28" s="79">
        <v>0.2</v>
      </c>
      <c r="J28" s="61">
        <v>288.55575000000005</v>
      </c>
      <c r="K28" s="79">
        <f t="shared" si="0"/>
        <v>0.49992592785112833</v>
      </c>
      <c r="L28" s="68">
        <v>288.55575000000005</v>
      </c>
      <c r="M28" s="68">
        <v>288.55575000000005</v>
      </c>
      <c r="N28" s="68">
        <v>288.55575000000005</v>
      </c>
      <c r="O28" s="68">
        <v>288.55575000000005</v>
      </c>
      <c r="P28" s="68">
        <v>288.55575000000005</v>
      </c>
      <c r="Q28" s="68">
        <v>288.55575000000005</v>
      </c>
      <c r="R28" s="67" t="s">
        <v>302</v>
      </c>
      <c r="S28" s="67"/>
    </row>
    <row r="29" spans="1:19" s="63" customFormat="1" ht="120" customHeight="1" x14ac:dyDescent="0.25">
      <c r="A29" s="67"/>
      <c r="B29" s="59" t="s">
        <v>72</v>
      </c>
      <c r="C29" s="60">
        <v>10035</v>
      </c>
      <c r="D29" s="59" t="s">
        <v>159</v>
      </c>
      <c r="E29" s="59" t="s">
        <v>471</v>
      </c>
      <c r="F29" s="60" t="s">
        <v>158</v>
      </c>
      <c r="G29" s="60">
        <v>20</v>
      </c>
      <c r="H29" s="61">
        <v>183.22</v>
      </c>
      <c r="I29" s="79">
        <v>0.2</v>
      </c>
      <c r="J29" s="61">
        <v>274.82175000000001</v>
      </c>
      <c r="K29" s="79">
        <f t="shared" si="0"/>
        <v>0.49995497216461082</v>
      </c>
      <c r="L29" s="68">
        <v>274.82175000000001</v>
      </c>
      <c r="M29" s="68">
        <v>274.82175000000001</v>
      </c>
      <c r="N29" s="68">
        <v>274.82175000000001</v>
      </c>
      <c r="O29" s="68">
        <v>274.82175000000001</v>
      </c>
      <c r="P29" s="68">
        <v>274.82175000000001</v>
      </c>
      <c r="Q29" s="68">
        <v>274.82175000000001</v>
      </c>
      <c r="R29" s="67" t="s">
        <v>301</v>
      </c>
      <c r="S29" s="67"/>
    </row>
    <row r="30" spans="1:19" s="63" customFormat="1" ht="120" customHeight="1" x14ac:dyDescent="0.25">
      <c r="A30" s="67"/>
      <c r="B30" s="59" t="s">
        <v>489</v>
      </c>
      <c r="C30" s="60">
        <v>10037</v>
      </c>
      <c r="D30" s="59" t="s">
        <v>159</v>
      </c>
      <c r="E30" s="59" t="s">
        <v>491</v>
      </c>
      <c r="F30" s="60" t="s">
        <v>158</v>
      </c>
      <c r="G30" s="60">
        <v>100</v>
      </c>
      <c r="H30" s="61">
        <v>50.379999999999995</v>
      </c>
      <c r="I30" s="79">
        <v>0.2</v>
      </c>
      <c r="J30" s="61">
        <v>75.5685</v>
      </c>
      <c r="K30" s="79">
        <f t="shared" si="0"/>
        <v>0.4999702262802701</v>
      </c>
      <c r="L30" s="68">
        <v>75.5685</v>
      </c>
      <c r="M30" s="68">
        <v>75.5685</v>
      </c>
      <c r="N30" s="68">
        <v>75.5685</v>
      </c>
      <c r="O30" s="68">
        <v>75.5685</v>
      </c>
      <c r="P30" s="68">
        <v>75.5685</v>
      </c>
      <c r="Q30" s="68">
        <v>75.5685</v>
      </c>
      <c r="R30" s="67" t="s">
        <v>301</v>
      </c>
      <c r="S30" s="67"/>
    </row>
    <row r="31" spans="1:19" s="63" customFormat="1" ht="120" customHeight="1" x14ac:dyDescent="0.25">
      <c r="A31" s="67"/>
      <c r="B31" s="59" t="s">
        <v>490</v>
      </c>
      <c r="C31" s="60">
        <v>10038</v>
      </c>
      <c r="D31" s="59" t="s">
        <v>159</v>
      </c>
      <c r="E31" s="59" t="s">
        <v>491</v>
      </c>
      <c r="F31" s="60" t="s">
        <v>158</v>
      </c>
      <c r="G31" s="60">
        <v>100</v>
      </c>
      <c r="H31" s="61">
        <v>50.379999999999995</v>
      </c>
      <c r="I31" s="79">
        <v>0.2</v>
      </c>
      <c r="J31" s="61">
        <v>75.5685</v>
      </c>
      <c r="K31" s="79">
        <f t="shared" si="0"/>
        <v>0.4999702262802701</v>
      </c>
      <c r="L31" s="68">
        <v>75.5685</v>
      </c>
      <c r="M31" s="68">
        <v>75.5685</v>
      </c>
      <c r="N31" s="68">
        <v>75.5685</v>
      </c>
      <c r="O31" s="68">
        <v>75.5685</v>
      </c>
      <c r="P31" s="68">
        <v>75.5685</v>
      </c>
      <c r="Q31" s="68">
        <v>75.5685</v>
      </c>
      <c r="R31" s="67" t="s">
        <v>301</v>
      </c>
      <c r="S31" s="67"/>
    </row>
    <row r="32" spans="1:19" s="63" customFormat="1" ht="120" customHeight="1" x14ac:dyDescent="0.25">
      <c r="A32" s="67"/>
      <c r="B32" s="59" t="s">
        <v>65</v>
      </c>
      <c r="C32" s="60">
        <v>10051</v>
      </c>
      <c r="D32" s="59" t="s">
        <v>159</v>
      </c>
      <c r="E32" s="59" t="s">
        <v>469</v>
      </c>
      <c r="F32" s="60" t="s">
        <v>158</v>
      </c>
      <c r="G32" s="60">
        <v>50</v>
      </c>
      <c r="H32" s="61">
        <v>39.69</v>
      </c>
      <c r="I32" s="79">
        <v>0.2</v>
      </c>
      <c r="J32" s="61">
        <v>59.534999999999997</v>
      </c>
      <c r="K32" s="79">
        <f t="shared" si="0"/>
        <v>0.5</v>
      </c>
      <c r="L32" s="68">
        <v>59.534999999999997</v>
      </c>
      <c r="M32" s="68">
        <v>59.534999999999997</v>
      </c>
      <c r="N32" s="68">
        <v>59.534999999999997</v>
      </c>
      <c r="O32" s="68">
        <v>59.534999999999997</v>
      </c>
      <c r="P32" s="68">
        <v>59.534999999999997</v>
      </c>
      <c r="Q32" s="68">
        <v>59.534999999999997</v>
      </c>
      <c r="R32" s="67" t="s">
        <v>301</v>
      </c>
      <c r="S32" s="67"/>
    </row>
    <row r="33" spans="1:19" s="63" customFormat="1" ht="120" customHeight="1" x14ac:dyDescent="0.25">
      <c r="A33" s="67"/>
      <c r="B33" s="59" t="s">
        <v>67</v>
      </c>
      <c r="C33" s="60">
        <v>10052</v>
      </c>
      <c r="D33" s="59" t="s">
        <v>159</v>
      </c>
      <c r="E33" s="59" t="s">
        <v>466</v>
      </c>
      <c r="F33" s="60" t="s">
        <v>158</v>
      </c>
      <c r="G33" s="60">
        <v>100</v>
      </c>
      <c r="H33" s="61">
        <v>61.07</v>
      </c>
      <c r="I33" s="79">
        <v>0.2</v>
      </c>
      <c r="J33" s="61">
        <v>91.602000000000004</v>
      </c>
      <c r="K33" s="79">
        <f t="shared" si="0"/>
        <v>0.49995087604388422</v>
      </c>
      <c r="L33" s="68">
        <v>91.602000000000004</v>
      </c>
      <c r="M33" s="68">
        <v>91.602000000000004</v>
      </c>
      <c r="N33" s="68">
        <v>91.602000000000004</v>
      </c>
      <c r="O33" s="68">
        <v>91.602000000000004</v>
      </c>
      <c r="P33" s="68">
        <v>91.602000000000004</v>
      </c>
      <c r="Q33" s="68">
        <v>91.602000000000004</v>
      </c>
      <c r="R33" s="67" t="s">
        <v>301</v>
      </c>
      <c r="S33" s="67"/>
    </row>
    <row r="34" spans="1:19" s="63" customFormat="1" ht="120" customHeight="1" x14ac:dyDescent="0.25">
      <c r="A34" s="67"/>
      <c r="B34" s="59" t="s">
        <v>295</v>
      </c>
      <c r="C34" s="60">
        <v>10053</v>
      </c>
      <c r="D34" s="59" t="s">
        <v>159</v>
      </c>
      <c r="E34" s="59" t="s">
        <v>473</v>
      </c>
      <c r="F34" s="60" t="s">
        <v>158</v>
      </c>
      <c r="G34" s="60">
        <v>50</v>
      </c>
      <c r="H34" s="61">
        <v>64.13000000000001</v>
      </c>
      <c r="I34" s="79">
        <v>0.2</v>
      </c>
      <c r="J34" s="61">
        <v>96.185250000000011</v>
      </c>
      <c r="K34" s="79">
        <f t="shared" si="0"/>
        <v>0.49984796507094953</v>
      </c>
      <c r="L34" s="68">
        <v>96.185250000000011</v>
      </c>
      <c r="M34" s="68">
        <v>96.185250000000011</v>
      </c>
      <c r="N34" s="68">
        <v>96.185250000000011</v>
      </c>
      <c r="O34" s="68">
        <v>96.185250000000011</v>
      </c>
      <c r="P34" s="68">
        <v>96.185250000000011</v>
      </c>
      <c r="Q34" s="68">
        <v>96.185250000000011</v>
      </c>
      <c r="R34" s="67" t="s">
        <v>301</v>
      </c>
      <c r="S34" s="67"/>
    </row>
    <row r="35" spans="1:19" s="63" customFormat="1" ht="120" customHeight="1" x14ac:dyDescent="0.25">
      <c r="A35" s="67"/>
      <c r="B35" s="59" t="s">
        <v>296</v>
      </c>
      <c r="C35" s="60">
        <v>10054</v>
      </c>
      <c r="D35" s="59" t="s">
        <v>159</v>
      </c>
      <c r="E35" s="59" t="s">
        <v>473</v>
      </c>
      <c r="F35" s="60" t="s">
        <v>158</v>
      </c>
      <c r="G35" s="60">
        <v>50</v>
      </c>
      <c r="H35" s="61">
        <v>48.86</v>
      </c>
      <c r="I35" s="79">
        <v>0.2</v>
      </c>
      <c r="J35" s="61">
        <v>73.284750000000003</v>
      </c>
      <c r="K35" s="79">
        <f t="shared" si="0"/>
        <v>0.4998925501432665</v>
      </c>
      <c r="L35" s="68">
        <v>73.284750000000003</v>
      </c>
      <c r="M35" s="68">
        <v>73.284750000000003</v>
      </c>
      <c r="N35" s="68">
        <v>73.284750000000003</v>
      </c>
      <c r="O35" s="68">
        <v>73.284750000000003</v>
      </c>
      <c r="P35" s="68">
        <v>73.284750000000003</v>
      </c>
      <c r="Q35" s="68">
        <v>73.284750000000003</v>
      </c>
      <c r="R35" s="67" t="s">
        <v>301</v>
      </c>
      <c r="S35" s="67"/>
    </row>
    <row r="36" spans="1:19" s="63" customFormat="1" ht="120" customHeight="1" x14ac:dyDescent="0.25">
      <c r="A36" s="67"/>
      <c r="B36" s="59" t="s">
        <v>69</v>
      </c>
      <c r="C36" s="60">
        <v>10064</v>
      </c>
      <c r="D36" s="59" t="s">
        <v>159</v>
      </c>
      <c r="E36" s="59" t="s">
        <v>468</v>
      </c>
      <c r="F36" s="60" t="s">
        <v>158</v>
      </c>
      <c r="G36" s="60">
        <v>60</v>
      </c>
      <c r="H36" s="61">
        <v>42.75</v>
      </c>
      <c r="I36" s="79">
        <v>0.2</v>
      </c>
      <c r="J36" s="61">
        <v>64.118250000000003</v>
      </c>
      <c r="K36" s="79">
        <f t="shared" si="0"/>
        <v>0.49984210526315787</v>
      </c>
      <c r="L36" s="68">
        <v>64.118250000000003</v>
      </c>
      <c r="M36" s="68">
        <v>64.118250000000003</v>
      </c>
      <c r="N36" s="68">
        <v>64.118250000000003</v>
      </c>
      <c r="O36" s="68">
        <v>64.118250000000003</v>
      </c>
      <c r="P36" s="68">
        <v>64.118250000000003</v>
      </c>
      <c r="Q36" s="68">
        <v>64.118250000000003</v>
      </c>
      <c r="R36" s="67" t="s">
        <v>301</v>
      </c>
      <c r="S36" s="67"/>
    </row>
    <row r="37" spans="1:19" s="63" customFormat="1" ht="120" customHeight="1" x14ac:dyDescent="0.25">
      <c r="A37" s="67"/>
      <c r="B37" s="59" t="s">
        <v>488</v>
      </c>
      <c r="C37" s="60">
        <v>10080</v>
      </c>
      <c r="D37" s="59" t="s">
        <v>159</v>
      </c>
      <c r="E37" s="59" t="s">
        <v>468</v>
      </c>
      <c r="F37" s="60" t="s">
        <v>158</v>
      </c>
      <c r="G37" s="60">
        <v>60</v>
      </c>
      <c r="H37" s="61">
        <v>42.75</v>
      </c>
      <c r="I37" s="79">
        <v>0.2</v>
      </c>
      <c r="J37" s="61">
        <v>64.118250000000003</v>
      </c>
      <c r="K37" s="79">
        <f t="shared" si="0"/>
        <v>0.49984210526315787</v>
      </c>
      <c r="L37" s="68">
        <v>64.118250000000003</v>
      </c>
      <c r="M37" s="68">
        <v>64.118250000000003</v>
      </c>
      <c r="N37" s="68">
        <v>64.118250000000003</v>
      </c>
      <c r="O37" s="68">
        <v>64.118250000000003</v>
      </c>
      <c r="P37" s="68">
        <v>64.118250000000003</v>
      </c>
      <c r="Q37" s="68">
        <v>64.118250000000003</v>
      </c>
      <c r="R37" s="67" t="s">
        <v>301</v>
      </c>
      <c r="S37" s="67"/>
    </row>
    <row r="38" spans="1:19" s="63" customFormat="1" ht="120" customHeight="1" x14ac:dyDescent="0.25">
      <c r="A38" s="67"/>
      <c r="B38" s="59" t="s">
        <v>94</v>
      </c>
      <c r="C38" s="60">
        <v>12001</v>
      </c>
      <c r="D38" s="59" t="s">
        <v>159</v>
      </c>
      <c r="E38" s="59" t="s">
        <v>447</v>
      </c>
      <c r="F38" s="60" t="s">
        <v>158</v>
      </c>
      <c r="G38" s="60">
        <v>12</v>
      </c>
      <c r="H38" s="61">
        <v>120.63000000000001</v>
      </c>
      <c r="I38" s="79">
        <v>0.2</v>
      </c>
      <c r="J38" s="61">
        <v>183.80799999999999</v>
      </c>
      <c r="K38" s="79">
        <f t="shared" si="0"/>
        <v>0.52373373124430067</v>
      </c>
      <c r="L38" s="68">
        <v>183.80799999999999</v>
      </c>
      <c r="M38" s="68">
        <v>183.80799999999999</v>
      </c>
      <c r="N38" s="68">
        <v>183.80799999999999</v>
      </c>
      <c r="O38" s="68">
        <v>183.80799999999999</v>
      </c>
      <c r="P38" s="68">
        <v>183.80799999999999</v>
      </c>
      <c r="Q38" s="68">
        <v>183.80799999999999</v>
      </c>
      <c r="R38" s="67" t="s">
        <v>187</v>
      </c>
      <c r="S38" s="67"/>
    </row>
    <row r="39" spans="1:19" s="63" customFormat="1" ht="120" customHeight="1" x14ac:dyDescent="0.25">
      <c r="A39" s="67"/>
      <c r="B39" s="59" t="s">
        <v>95</v>
      </c>
      <c r="C39" s="60">
        <v>12003</v>
      </c>
      <c r="D39" s="59" t="s">
        <v>159</v>
      </c>
      <c r="E39" s="59" t="s">
        <v>447</v>
      </c>
      <c r="F39" s="60" t="s">
        <v>158</v>
      </c>
      <c r="G39" s="60">
        <v>12</v>
      </c>
      <c r="H39" s="61">
        <v>149.63</v>
      </c>
      <c r="I39" s="79">
        <v>0.2</v>
      </c>
      <c r="J39" s="61">
        <v>228</v>
      </c>
      <c r="K39" s="79">
        <f t="shared" si="0"/>
        <v>0.52375860455790946</v>
      </c>
      <c r="L39" s="68">
        <v>228</v>
      </c>
      <c r="M39" s="68">
        <v>228</v>
      </c>
      <c r="N39" s="68">
        <v>228</v>
      </c>
      <c r="O39" s="68">
        <v>228</v>
      </c>
      <c r="P39" s="68">
        <v>228</v>
      </c>
      <c r="Q39" s="68">
        <v>228</v>
      </c>
      <c r="R39" s="67" t="s">
        <v>187</v>
      </c>
      <c r="S39" s="67"/>
    </row>
    <row r="40" spans="1:19" s="63" customFormat="1" ht="120" customHeight="1" x14ac:dyDescent="0.25">
      <c r="A40" s="67"/>
      <c r="B40" s="59" t="s">
        <v>96</v>
      </c>
      <c r="C40" s="60">
        <v>12005</v>
      </c>
      <c r="D40" s="59" t="s">
        <v>159</v>
      </c>
      <c r="E40" s="59" t="s">
        <v>447</v>
      </c>
      <c r="F40" s="60" t="s">
        <v>158</v>
      </c>
      <c r="G40" s="60">
        <v>12</v>
      </c>
      <c r="H40" s="61">
        <v>149.63</v>
      </c>
      <c r="I40" s="79">
        <v>0.2</v>
      </c>
      <c r="J40" s="61">
        <v>228</v>
      </c>
      <c r="K40" s="79">
        <f t="shared" si="0"/>
        <v>0.52375860455790946</v>
      </c>
      <c r="L40" s="68">
        <v>228</v>
      </c>
      <c r="M40" s="68">
        <v>228</v>
      </c>
      <c r="N40" s="68">
        <v>228</v>
      </c>
      <c r="O40" s="68">
        <v>228</v>
      </c>
      <c r="P40" s="68">
        <v>228</v>
      </c>
      <c r="Q40" s="68">
        <v>228</v>
      </c>
      <c r="R40" s="67" t="s">
        <v>187</v>
      </c>
      <c r="S40" s="67"/>
    </row>
    <row r="41" spans="1:19" s="63" customFormat="1" ht="120" customHeight="1" x14ac:dyDescent="0.25">
      <c r="A41" s="67"/>
      <c r="B41" s="59" t="s">
        <v>97</v>
      </c>
      <c r="C41" s="60">
        <v>12007</v>
      </c>
      <c r="D41" s="59" t="s">
        <v>159</v>
      </c>
      <c r="E41" s="59" t="s">
        <v>447</v>
      </c>
      <c r="F41" s="60" t="s">
        <v>158</v>
      </c>
      <c r="G41" s="60">
        <v>12</v>
      </c>
      <c r="H41" s="61">
        <v>152.69</v>
      </c>
      <c r="I41" s="79">
        <v>0.2</v>
      </c>
      <c r="J41" s="61">
        <v>232.65600000000001</v>
      </c>
      <c r="K41" s="79">
        <f t="shared" si="0"/>
        <v>0.52371471609142706</v>
      </c>
      <c r="L41" s="68">
        <v>232.65600000000001</v>
      </c>
      <c r="M41" s="68">
        <v>232.65600000000001</v>
      </c>
      <c r="N41" s="68">
        <v>232.65600000000001</v>
      </c>
      <c r="O41" s="68">
        <v>232.65600000000001</v>
      </c>
      <c r="P41" s="68">
        <v>232.65600000000001</v>
      </c>
      <c r="Q41" s="68">
        <v>232.65600000000001</v>
      </c>
      <c r="R41" s="67" t="s">
        <v>161</v>
      </c>
      <c r="S41" s="67"/>
    </row>
    <row r="42" spans="1:19" s="63" customFormat="1" ht="120" customHeight="1" x14ac:dyDescent="0.25">
      <c r="A42" s="67"/>
      <c r="B42" s="59" t="s">
        <v>98</v>
      </c>
      <c r="C42" s="60">
        <v>12011</v>
      </c>
      <c r="D42" s="59" t="s">
        <v>159</v>
      </c>
      <c r="E42" s="59" t="s">
        <v>447</v>
      </c>
      <c r="F42" s="60" t="s">
        <v>158</v>
      </c>
      <c r="G42" s="60">
        <v>10</v>
      </c>
      <c r="H42" s="61">
        <v>780.18</v>
      </c>
      <c r="I42" s="79">
        <v>0.2</v>
      </c>
      <c r="J42" s="61">
        <v>1188.8320000000001</v>
      </c>
      <c r="K42" s="79">
        <f t="shared" si="0"/>
        <v>0.52379194544848651</v>
      </c>
      <c r="L42" s="68">
        <v>1188.8320000000001</v>
      </c>
      <c r="M42" s="68">
        <v>1188.8320000000001</v>
      </c>
      <c r="N42" s="68">
        <v>1188.8320000000001</v>
      </c>
      <c r="O42" s="68">
        <v>1188.8320000000001</v>
      </c>
      <c r="P42" s="68">
        <v>1188.8320000000001</v>
      </c>
      <c r="Q42" s="68">
        <v>1188.8320000000001</v>
      </c>
      <c r="R42" s="67" t="s">
        <v>187</v>
      </c>
      <c r="S42" s="67"/>
    </row>
    <row r="43" spans="1:19" s="63" customFormat="1" ht="120" customHeight="1" x14ac:dyDescent="0.25">
      <c r="A43" s="67"/>
      <c r="B43" s="59" t="s">
        <v>99</v>
      </c>
      <c r="C43" s="60">
        <v>12014</v>
      </c>
      <c r="D43" s="59" t="s">
        <v>159</v>
      </c>
      <c r="E43" s="59" t="s">
        <v>447</v>
      </c>
      <c r="F43" s="60" t="s">
        <v>158</v>
      </c>
      <c r="G43" s="60">
        <v>12</v>
      </c>
      <c r="H43" s="61">
        <v>132.84</v>
      </c>
      <c r="I43" s="79">
        <v>0.2</v>
      </c>
      <c r="J43" s="61">
        <v>202.41600000000003</v>
      </c>
      <c r="K43" s="79">
        <f t="shared" si="0"/>
        <v>0.52375790424570923</v>
      </c>
      <c r="L43" s="68">
        <v>202.41600000000003</v>
      </c>
      <c r="M43" s="68">
        <v>202.41600000000003</v>
      </c>
      <c r="N43" s="68">
        <v>202.41600000000003</v>
      </c>
      <c r="O43" s="68">
        <v>202.41600000000003</v>
      </c>
      <c r="P43" s="68">
        <v>202.41600000000003</v>
      </c>
      <c r="Q43" s="68">
        <v>202.41600000000003</v>
      </c>
      <c r="R43" s="67" t="s">
        <v>161</v>
      </c>
      <c r="S43" s="67"/>
    </row>
    <row r="44" spans="1:19" s="63" customFormat="1" ht="120" customHeight="1" x14ac:dyDescent="0.25">
      <c r="A44" s="67"/>
      <c r="B44" s="59" t="s">
        <v>100</v>
      </c>
      <c r="C44" s="60">
        <v>12017</v>
      </c>
      <c r="D44" s="59" t="s">
        <v>159</v>
      </c>
      <c r="E44" s="59" t="s">
        <v>447</v>
      </c>
      <c r="F44" s="60" t="s">
        <v>158</v>
      </c>
      <c r="G44" s="60">
        <v>12</v>
      </c>
      <c r="H44" s="61">
        <v>155.73999999999998</v>
      </c>
      <c r="I44" s="79">
        <v>0.2</v>
      </c>
      <c r="J44" s="61">
        <v>237.31200000000001</v>
      </c>
      <c r="K44" s="79">
        <f t="shared" si="0"/>
        <v>0.52377038654167229</v>
      </c>
      <c r="L44" s="68">
        <v>237.31200000000001</v>
      </c>
      <c r="M44" s="68">
        <v>237.31200000000001</v>
      </c>
      <c r="N44" s="68">
        <v>237.31200000000001</v>
      </c>
      <c r="O44" s="68">
        <v>237.31200000000001</v>
      </c>
      <c r="P44" s="68">
        <v>237.31200000000001</v>
      </c>
      <c r="Q44" s="68">
        <v>237.31200000000001</v>
      </c>
      <c r="R44" s="67" t="s">
        <v>303</v>
      </c>
      <c r="S44" s="67"/>
    </row>
    <row r="45" spans="1:19" s="63" customFormat="1" ht="120" customHeight="1" x14ac:dyDescent="0.25">
      <c r="A45" s="67"/>
      <c r="B45" s="59" t="s">
        <v>101</v>
      </c>
      <c r="C45" s="60">
        <v>12021</v>
      </c>
      <c r="D45" s="59" t="s">
        <v>159</v>
      </c>
      <c r="E45" s="59" t="s">
        <v>447</v>
      </c>
      <c r="F45" s="60" t="s">
        <v>158</v>
      </c>
      <c r="G45" s="60">
        <v>12</v>
      </c>
      <c r="H45" s="61">
        <v>155.73999999999998</v>
      </c>
      <c r="I45" s="79">
        <v>0.2</v>
      </c>
      <c r="J45" s="61">
        <v>237.31200000000001</v>
      </c>
      <c r="K45" s="79">
        <f t="shared" si="0"/>
        <v>0.52377038654167229</v>
      </c>
      <c r="L45" s="68">
        <v>237.31200000000001</v>
      </c>
      <c r="M45" s="68">
        <v>237.31200000000001</v>
      </c>
      <c r="N45" s="68">
        <v>237.31200000000001</v>
      </c>
      <c r="O45" s="68">
        <v>237.31200000000001</v>
      </c>
      <c r="P45" s="68">
        <v>237.31200000000001</v>
      </c>
      <c r="Q45" s="68">
        <v>237.31200000000001</v>
      </c>
      <c r="R45" s="67" t="s">
        <v>187</v>
      </c>
      <c r="S45" s="67"/>
    </row>
    <row r="46" spans="1:19" s="63" customFormat="1" ht="120" customHeight="1" x14ac:dyDescent="0.25">
      <c r="A46" s="67"/>
      <c r="B46" s="59" t="s">
        <v>102</v>
      </c>
      <c r="C46" s="60">
        <v>12022</v>
      </c>
      <c r="D46" s="59" t="s">
        <v>159</v>
      </c>
      <c r="E46" s="59" t="s">
        <v>447</v>
      </c>
      <c r="F46" s="60" t="s">
        <v>158</v>
      </c>
      <c r="G46" s="60">
        <v>12</v>
      </c>
      <c r="H46" s="61">
        <v>119.09</v>
      </c>
      <c r="I46" s="79">
        <v>0.2</v>
      </c>
      <c r="J46" s="61">
        <v>181.45600000000002</v>
      </c>
      <c r="K46" s="79">
        <f t="shared" si="0"/>
        <v>0.52368796708371823</v>
      </c>
      <c r="L46" s="68">
        <v>181.45600000000002</v>
      </c>
      <c r="M46" s="68">
        <v>181.45600000000002</v>
      </c>
      <c r="N46" s="68">
        <v>181.45600000000002</v>
      </c>
      <c r="O46" s="68">
        <v>181.45600000000002</v>
      </c>
      <c r="P46" s="68">
        <v>181.45600000000002</v>
      </c>
      <c r="Q46" s="68">
        <v>181.45600000000002</v>
      </c>
      <c r="R46" s="67" t="s">
        <v>303</v>
      </c>
      <c r="S46" s="67"/>
    </row>
    <row r="47" spans="1:19" s="63" customFormat="1" ht="120" customHeight="1" x14ac:dyDescent="0.25">
      <c r="A47" s="67"/>
      <c r="B47" s="59" t="s">
        <v>103</v>
      </c>
      <c r="C47" s="60">
        <v>12023</v>
      </c>
      <c r="D47" s="59" t="s">
        <v>159</v>
      </c>
      <c r="E47" s="59" t="s">
        <v>447</v>
      </c>
      <c r="F47" s="60" t="s">
        <v>158</v>
      </c>
      <c r="G47" s="60">
        <v>12</v>
      </c>
      <c r="H47" s="61">
        <v>190.85</v>
      </c>
      <c r="I47" s="79">
        <v>0.2</v>
      </c>
      <c r="J47" s="61">
        <v>290.81599999999997</v>
      </c>
      <c r="K47" s="79">
        <f t="shared" si="0"/>
        <v>0.52379355514802195</v>
      </c>
      <c r="L47" s="68">
        <v>290.81599999999997</v>
      </c>
      <c r="M47" s="68">
        <v>290.81599999999997</v>
      </c>
      <c r="N47" s="68">
        <v>290.81599999999997</v>
      </c>
      <c r="O47" s="68">
        <v>290.81599999999997</v>
      </c>
      <c r="P47" s="68">
        <v>290.81599999999997</v>
      </c>
      <c r="Q47" s="68">
        <v>290.81599999999997</v>
      </c>
      <c r="R47" s="67" t="s">
        <v>187</v>
      </c>
      <c r="S47" s="67"/>
    </row>
    <row r="48" spans="1:19" s="63" customFormat="1" ht="120" customHeight="1" x14ac:dyDescent="0.25">
      <c r="A48" s="67"/>
      <c r="B48" s="59" t="s">
        <v>104</v>
      </c>
      <c r="C48" s="60">
        <v>12028</v>
      </c>
      <c r="D48" s="59" t="s">
        <v>159</v>
      </c>
      <c r="E48" s="59" t="s">
        <v>447</v>
      </c>
      <c r="F48" s="60" t="s">
        <v>158</v>
      </c>
      <c r="G48" s="60">
        <v>12</v>
      </c>
      <c r="H48" s="61">
        <v>145.04999999999998</v>
      </c>
      <c r="I48" s="79">
        <v>0.2</v>
      </c>
      <c r="J48" s="61">
        <v>221.024</v>
      </c>
      <c r="K48" s="79">
        <f t="shared" si="0"/>
        <v>0.52377800758359205</v>
      </c>
      <c r="L48" s="68">
        <v>221.024</v>
      </c>
      <c r="M48" s="68">
        <v>221.024</v>
      </c>
      <c r="N48" s="68">
        <v>221.024</v>
      </c>
      <c r="O48" s="68">
        <v>221.024</v>
      </c>
      <c r="P48" s="68">
        <v>221.024</v>
      </c>
      <c r="Q48" s="68">
        <v>221.024</v>
      </c>
      <c r="R48" s="67" t="s">
        <v>303</v>
      </c>
      <c r="S48" s="67"/>
    </row>
    <row r="49" spans="1:19" s="63" customFormat="1" ht="120" customHeight="1" x14ac:dyDescent="0.25">
      <c r="A49" s="67"/>
      <c r="B49" s="59" t="s">
        <v>105</v>
      </c>
      <c r="C49" s="60">
        <v>12029</v>
      </c>
      <c r="D49" s="59" t="s">
        <v>159</v>
      </c>
      <c r="E49" s="59" t="s">
        <v>447</v>
      </c>
      <c r="F49" s="60" t="s">
        <v>158</v>
      </c>
      <c r="G49" s="60">
        <v>12</v>
      </c>
      <c r="H49" s="61">
        <v>166.42999999999998</v>
      </c>
      <c r="I49" s="79">
        <v>0.2</v>
      </c>
      <c r="J49" s="61">
        <v>253.60000000000002</v>
      </c>
      <c r="K49" s="79">
        <f t="shared" si="0"/>
        <v>0.52376374451721475</v>
      </c>
      <c r="L49" s="68">
        <v>253.60000000000002</v>
      </c>
      <c r="M49" s="68">
        <v>253.60000000000002</v>
      </c>
      <c r="N49" s="68">
        <v>253.60000000000002</v>
      </c>
      <c r="O49" s="68">
        <v>253.60000000000002</v>
      </c>
      <c r="P49" s="68">
        <v>253.60000000000002</v>
      </c>
      <c r="Q49" s="68">
        <v>253.60000000000002</v>
      </c>
      <c r="R49" s="67" t="s">
        <v>303</v>
      </c>
      <c r="S49" s="67"/>
    </row>
    <row r="50" spans="1:19" s="63" customFormat="1" ht="120" customHeight="1" x14ac:dyDescent="0.25">
      <c r="A50" s="67"/>
      <c r="B50" s="59" t="s">
        <v>106</v>
      </c>
      <c r="C50" s="60">
        <v>12035</v>
      </c>
      <c r="D50" s="59" t="s">
        <v>159</v>
      </c>
      <c r="E50" s="59" t="s">
        <v>447</v>
      </c>
      <c r="F50" s="60" t="s">
        <v>158</v>
      </c>
      <c r="G50" s="60">
        <v>12</v>
      </c>
      <c r="H50" s="61">
        <v>415.28999999999996</v>
      </c>
      <c r="I50" s="79">
        <v>0.2</v>
      </c>
      <c r="J50" s="61">
        <v>632.81600000000003</v>
      </c>
      <c r="K50" s="79">
        <f t="shared" si="0"/>
        <v>0.52379301211201823</v>
      </c>
      <c r="L50" s="68">
        <v>632.81600000000003</v>
      </c>
      <c r="M50" s="68">
        <v>632.81600000000003</v>
      </c>
      <c r="N50" s="68">
        <v>632.81600000000003</v>
      </c>
      <c r="O50" s="68">
        <v>632.81600000000003</v>
      </c>
      <c r="P50" s="68">
        <v>632.81600000000003</v>
      </c>
      <c r="Q50" s="68">
        <v>632.81600000000003</v>
      </c>
      <c r="R50" s="67" t="s">
        <v>161</v>
      </c>
      <c r="S50" s="67"/>
    </row>
    <row r="51" spans="1:19" s="63" customFormat="1" ht="120" customHeight="1" x14ac:dyDescent="0.25">
      <c r="A51" s="67"/>
      <c r="B51" s="59" t="s">
        <v>107</v>
      </c>
      <c r="C51" s="60">
        <v>12082</v>
      </c>
      <c r="D51" s="59" t="s">
        <v>159</v>
      </c>
      <c r="E51" s="59" t="s">
        <v>447</v>
      </c>
      <c r="F51" s="60" t="s">
        <v>158</v>
      </c>
      <c r="G51" s="60">
        <v>12</v>
      </c>
      <c r="H51" s="61">
        <v>203.06</v>
      </c>
      <c r="I51" s="79">
        <v>0.2</v>
      </c>
      <c r="J51" s="61">
        <v>309.42399999999998</v>
      </c>
      <c r="K51" s="79">
        <f t="shared" si="0"/>
        <v>0.5238057716930955</v>
      </c>
      <c r="L51" s="68">
        <v>309.42399999999998</v>
      </c>
      <c r="M51" s="68">
        <v>309.42399999999998</v>
      </c>
      <c r="N51" s="68">
        <v>309.42399999999998</v>
      </c>
      <c r="O51" s="68">
        <v>309.42399999999998</v>
      </c>
      <c r="P51" s="68">
        <v>309.42399999999998</v>
      </c>
      <c r="Q51" s="68">
        <v>309.42399999999998</v>
      </c>
      <c r="R51" s="67" t="s">
        <v>303</v>
      </c>
      <c r="S51" s="67"/>
    </row>
    <row r="52" spans="1:19" s="63" customFormat="1" ht="120" customHeight="1" x14ac:dyDescent="0.25">
      <c r="A52" s="67"/>
      <c r="B52" s="59" t="s">
        <v>108</v>
      </c>
      <c r="C52" s="60">
        <v>12091</v>
      </c>
      <c r="D52" s="59" t="s">
        <v>159</v>
      </c>
      <c r="E52" s="59" t="s">
        <v>447</v>
      </c>
      <c r="F52" s="60" t="s">
        <v>158</v>
      </c>
      <c r="G52" s="60">
        <v>12</v>
      </c>
      <c r="H52" s="61">
        <v>177.10999999999999</v>
      </c>
      <c r="I52" s="79">
        <v>0.2</v>
      </c>
      <c r="J52" s="61">
        <v>269.87200000000001</v>
      </c>
      <c r="K52" s="79">
        <f t="shared" si="0"/>
        <v>0.52375359945796429</v>
      </c>
      <c r="L52" s="68">
        <v>269.87200000000001</v>
      </c>
      <c r="M52" s="68">
        <v>269.87200000000001</v>
      </c>
      <c r="N52" s="68">
        <v>269.87200000000001</v>
      </c>
      <c r="O52" s="68">
        <v>269.87200000000001</v>
      </c>
      <c r="P52" s="68">
        <v>269.87200000000001</v>
      </c>
      <c r="Q52" s="68">
        <v>269.87200000000001</v>
      </c>
      <c r="R52" s="67" t="s">
        <v>187</v>
      </c>
      <c r="S52" s="67"/>
    </row>
    <row r="53" spans="1:19" s="63" customFormat="1" ht="120" customHeight="1" x14ac:dyDescent="0.25">
      <c r="A53" s="67"/>
      <c r="B53" s="59" t="s">
        <v>92</v>
      </c>
      <c r="C53" s="60">
        <v>16011</v>
      </c>
      <c r="D53" s="59" t="s">
        <v>159</v>
      </c>
      <c r="E53" s="59" t="s">
        <v>483</v>
      </c>
      <c r="F53" s="60" t="s">
        <v>158</v>
      </c>
      <c r="G53" s="60">
        <v>30</v>
      </c>
      <c r="H53" s="61">
        <v>91.61</v>
      </c>
      <c r="I53" s="79">
        <v>0.2</v>
      </c>
      <c r="J53" s="61">
        <v>137.40300000000002</v>
      </c>
      <c r="K53" s="79">
        <f t="shared" si="0"/>
        <v>0.49986900993341354</v>
      </c>
      <c r="L53" s="68">
        <v>137.40300000000002</v>
      </c>
      <c r="M53" s="68">
        <v>137.40300000000002</v>
      </c>
      <c r="N53" s="68">
        <v>137.40300000000002</v>
      </c>
      <c r="O53" s="68">
        <v>137.40300000000002</v>
      </c>
      <c r="P53" s="68">
        <v>137.40300000000002</v>
      </c>
      <c r="Q53" s="68">
        <v>137.40300000000002</v>
      </c>
      <c r="R53" s="67" t="s">
        <v>187</v>
      </c>
      <c r="S53" s="67"/>
    </row>
    <row r="54" spans="1:19" s="63" customFormat="1" ht="120" customHeight="1" x14ac:dyDescent="0.25">
      <c r="A54" s="67"/>
      <c r="B54" s="59" t="s">
        <v>93</v>
      </c>
      <c r="C54" s="60">
        <v>16012</v>
      </c>
      <c r="D54" s="59" t="s">
        <v>159</v>
      </c>
      <c r="E54" s="59" t="s">
        <v>484</v>
      </c>
      <c r="F54" s="60" t="s">
        <v>158</v>
      </c>
      <c r="G54" s="60">
        <v>25</v>
      </c>
      <c r="H54" s="61">
        <v>67.180000000000007</v>
      </c>
      <c r="I54" s="79">
        <v>0.2</v>
      </c>
      <c r="J54" s="61">
        <v>100.7685</v>
      </c>
      <c r="K54" s="79">
        <f t="shared" si="0"/>
        <v>0.49997767192616838</v>
      </c>
      <c r="L54" s="68">
        <v>100.7685</v>
      </c>
      <c r="M54" s="68">
        <v>100.7685</v>
      </c>
      <c r="N54" s="68">
        <v>100.7685</v>
      </c>
      <c r="O54" s="68">
        <v>100.7685</v>
      </c>
      <c r="P54" s="68">
        <v>100.7685</v>
      </c>
      <c r="Q54" s="68">
        <v>100.7685</v>
      </c>
      <c r="R54" s="67" t="s">
        <v>187</v>
      </c>
      <c r="S54" s="67"/>
    </row>
    <row r="55" spans="1:19" s="63" customFormat="1" ht="120" customHeight="1" x14ac:dyDescent="0.25">
      <c r="A55" s="67"/>
      <c r="B55" s="59" t="s">
        <v>150</v>
      </c>
      <c r="C55" s="60">
        <v>18300</v>
      </c>
      <c r="D55" s="59" t="s">
        <v>159</v>
      </c>
      <c r="E55" s="69" t="s">
        <v>454</v>
      </c>
      <c r="F55" s="60" t="s">
        <v>158</v>
      </c>
      <c r="G55" s="60">
        <v>10</v>
      </c>
      <c r="H55" s="61">
        <v>128.26</v>
      </c>
      <c r="I55" s="79">
        <v>0.2</v>
      </c>
      <c r="J55" s="61">
        <v>195.44000000000003</v>
      </c>
      <c r="K55" s="79">
        <f t="shared" si="0"/>
        <v>0.52377982223608321</v>
      </c>
      <c r="L55" s="68">
        <v>195.44000000000003</v>
      </c>
      <c r="M55" s="68">
        <v>195.44000000000003</v>
      </c>
      <c r="N55" s="68">
        <v>195.44000000000003</v>
      </c>
      <c r="O55" s="68">
        <v>195.44000000000003</v>
      </c>
      <c r="P55" s="68">
        <v>195.44000000000003</v>
      </c>
      <c r="Q55" s="68">
        <v>195.44000000000003</v>
      </c>
      <c r="R55" s="67" t="s">
        <v>187</v>
      </c>
      <c r="S55" s="67"/>
    </row>
    <row r="56" spans="1:19" s="63" customFormat="1" ht="120" customHeight="1" x14ac:dyDescent="0.25">
      <c r="A56" s="67"/>
      <c r="B56" s="59" t="s">
        <v>151</v>
      </c>
      <c r="C56" s="60">
        <v>18301</v>
      </c>
      <c r="D56" s="59" t="s">
        <v>159</v>
      </c>
      <c r="E56" s="69" t="s">
        <v>454</v>
      </c>
      <c r="F56" s="60" t="s">
        <v>158</v>
      </c>
      <c r="G56" s="60">
        <v>10</v>
      </c>
      <c r="H56" s="61">
        <v>160.32</v>
      </c>
      <c r="I56" s="79">
        <v>0.2</v>
      </c>
      <c r="J56" s="61">
        <v>244.28800000000001</v>
      </c>
      <c r="K56" s="79">
        <f t="shared" si="0"/>
        <v>0.52375249500998011</v>
      </c>
      <c r="L56" s="68">
        <v>244.28800000000001</v>
      </c>
      <c r="M56" s="68">
        <v>244.28800000000001</v>
      </c>
      <c r="N56" s="68">
        <v>244.28800000000001</v>
      </c>
      <c r="O56" s="68">
        <v>244.28800000000001</v>
      </c>
      <c r="P56" s="68">
        <v>244.28800000000001</v>
      </c>
      <c r="Q56" s="68">
        <v>244.28800000000001</v>
      </c>
      <c r="R56" s="67" t="s">
        <v>187</v>
      </c>
      <c r="S56" s="67"/>
    </row>
    <row r="57" spans="1:19" s="63" customFormat="1" ht="120" customHeight="1" x14ac:dyDescent="0.25">
      <c r="A57" s="67"/>
      <c r="B57" s="59" t="s">
        <v>152</v>
      </c>
      <c r="C57" s="60">
        <v>18304</v>
      </c>
      <c r="D57" s="59" t="s">
        <v>159</v>
      </c>
      <c r="E57" s="69" t="s">
        <v>454</v>
      </c>
      <c r="F57" s="60" t="s">
        <v>158</v>
      </c>
      <c r="G57" s="60">
        <v>10</v>
      </c>
      <c r="H57" s="61">
        <v>172.53</v>
      </c>
      <c r="I57" s="79">
        <v>0.2</v>
      </c>
      <c r="J57" s="61">
        <v>262.89600000000002</v>
      </c>
      <c r="K57" s="79">
        <f t="shared" si="0"/>
        <v>0.52376977916884027</v>
      </c>
      <c r="L57" s="68">
        <v>262.89600000000002</v>
      </c>
      <c r="M57" s="68">
        <v>262.89600000000002</v>
      </c>
      <c r="N57" s="68">
        <v>262.89600000000002</v>
      </c>
      <c r="O57" s="68">
        <v>262.89600000000002</v>
      </c>
      <c r="P57" s="68">
        <v>262.89600000000002</v>
      </c>
      <c r="Q57" s="68">
        <v>262.89600000000002</v>
      </c>
      <c r="R57" s="67" t="s">
        <v>187</v>
      </c>
      <c r="S57" s="67"/>
    </row>
    <row r="58" spans="1:19" s="63" customFormat="1" ht="120" customHeight="1" x14ac:dyDescent="0.25">
      <c r="A58" s="67"/>
      <c r="B58" s="59" t="s">
        <v>153</v>
      </c>
      <c r="C58" s="60">
        <v>18306</v>
      </c>
      <c r="D58" s="59" t="s">
        <v>159</v>
      </c>
      <c r="E58" s="69" t="s">
        <v>454</v>
      </c>
      <c r="F58" s="60" t="s">
        <v>158</v>
      </c>
      <c r="G58" s="60">
        <v>10</v>
      </c>
      <c r="H58" s="61">
        <v>128.26</v>
      </c>
      <c r="I58" s="79">
        <v>0.2</v>
      </c>
      <c r="J58" s="61">
        <v>195.44000000000003</v>
      </c>
      <c r="K58" s="79">
        <f t="shared" si="0"/>
        <v>0.52377982223608321</v>
      </c>
      <c r="L58" s="68">
        <v>195.44000000000003</v>
      </c>
      <c r="M58" s="68">
        <v>195.44000000000003</v>
      </c>
      <c r="N58" s="68">
        <v>195.44000000000003</v>
      </c>
      <c r="O58" s="68">
        <v>195.44000000000003</v>
      </c>
      <c r="P58" s="68">
        <v>195.44000000000003</v>
      </c>
      <c r="Q58" s="68">
        <v>195.44000000000003</v>
      </c>
      <c r="R58" s="67" t="s">
        <v>303</v>
      </c>
      <c r="S58" s="67"/>
    </row>
    <row r="59" spans="1:19" s="63" customFormat="1" ht="120" customHeight="1" x14ac:dyDescent="0.25">
      <c r="A59" s="67"/>
      <c r="B59" s="59" t="s">
        <v>154</v>
      </c>
      <c r="C59" s="60">
        <v>18308</v>
      </c>
      <c r="D59" s="59" t="s">
        <v>159</v>
      </c>
      <c r="E59" s="69" t="s">
        <v>454</v>
      </c>
      <c r="F59" s="60" t="s">
        <v>158</v>
      </c>
      <c r="G59" s="60">
        <v>10</v>
      </c>
      <c r="H59" s="61">
        <v>146.57</v>
      </c>
      <c r="I59" s="79">
        <v>0.2</v>
      </c>
      <c r="J59" s="61">
        <v>223.34400000000002</v>
      </c>
      <c r="K59" s="79">
        <f t="shared" si="0"/>
        <v>0.52380432557822232</v>
      </c>
      <c r="L59" s="68">
        <v>223.34400000000002</v>
      </c>
      <c r="M59" s="68">
        <v>223.34400000000002</v>
      </c>
      <c r="N59" s="68">
        <v>223.34400000000002</v>
      </c>
      <c r="O59" s="68">
        <v>223.34400000000002</v>
      </c>
      <c r="P59" s="68">
        <v>223.34400000000002</v>
      </c>
      <c r="Q59" s="68">
        <v>223.34400000000002</v>
      </c>
      <c r="R59" s="67" t="s">
        <v>303</v>
      </c>
      <c r="S59" s="67"/>
    </row>
    <row r="60" spans="1:19" s="63" customFormat="1" ht="120" customHeight="1" x14ac:dyDescent="0.25">
      <c r="A60" s="67"/>
      <c r="B60" s="59" t="s">
        <v>155</v>
      </c>
      <c r="C60" s="60">
        <v>18350</v>
      </c>
      <c r="D60" s="59" t="s">
        <v>159</v>
      </c>
      <c r="E60" s="69" t="s">
        <v>455</v>
      </c>
      <c r="F60" s="60" t="s">
        <v>158</v>
      </c>
      <c r="G60" s="60">
        <v>6</v>
      </c>
      <c r="H60" s="61">
        <v>297.71999999999997</v>
      </c>
      <c r="I60" s="79">
        <v>0.2</v>
      </c>
      <c r="J60" s="61">
        <v>453.66400000000004</v>
      </c>
      <c r="K60" s="79">
        <f t="shared" si="0"/>
        <v>0.52379416901786935</v>
      </c>
      <c r="L60" s="68">
        <v>453.66400000000004</v>
      </c>
      <c r="M60" s="68">
        <v>453.66400000000004</v>
      </c>
      <c r="N60" s="68">
        <v>453.66400000000004</v>
      </c>
      <c r="O60" s="68">
        <v>453.66400000000004</v>
      </c>
      <c r="P60" s="68">
        <v>453.66400000000004</v>
      </c>
      <c r="Q60" s="68">
        <v>453.66400000000004</v>
      </c>
      <c r="R60" s="67" t="s">
        <v>303</v>
      </c>
      <c r="S60" s="67"/>
    </row>
    <row r="61" spans="1:19" s="63" customFormat="1" ht="120" customHeight="1" x14ac:dyDescent="0.25">
      <c r="A61" s="67"/>
      <c r="B61" s="59" t="s">
        <v>156</v>
      </c>
      <c r="C61" s="60">
        <v>18351</v>
      </c>
      <c r="D61" s="59" t="s">
        <v>159</v>
      </c>
      <c r="E61" s="69" t="s">
        <v>455</v>
      </c>
      <c r="F61" s="60" t="s">
        <v>158</v>
      </c>
      <c r="G61" s="60">
        <v>6</v>
      </c>
      <c r="H61" s="61">
        <v>343.52</v>
      </c>
      <c r="I61" s="79">
        <v>0.2</v>
      </c>
      <c r="J61" s="61">
        <v>523.45600000000002</v>
      </c>
      <c r="K61" s="79">
        <f t="shared" si="0"/>
        <v>0.52380065207265969</v>
      </c>
      <c r="L61" s="68">
        <v>523.45600000000002</v>
      </c>
      <c r="M61" s="68">
        <v>523.45600000000002</v>
      </c>
      <c r="N61" s="68">
        <v>523.45600000000002</v>
      </c>
      <c r="O61" s="68">
        <v>523.45600000000002</v>
      </c>
      <c r="P61" s="68">
        <v>523.45600000000002</v>
      </c>
      <c r="Q61" s="68">
        <v>523.45600000000002</v>
      </c>
      <c r="R61" s="67" t="s">
        <v>303</v>
      </c>
      <c r="S61" s="67"/>
    </row>
    <row r="62" spans="1:19" s="63" customFormat="1" ht="120" customHeight="1" x14ac:dyDescent="0.25">
      <c r="A62" s="67"/>
      <c r="B62" s="59" t="s">
        <v>157</v>
      </c>
      <c r="C62" s="60">
        <v>18354</v>
      </c>
      <c r="D62" s="59" t="s">
        <v>159</v>
      </c>
      <c r="E62" s="69" t="s">
        <v>455</v>
      </c>
      <c r="F62" s="60" t="s">
        <v>158</v>
      </c>
      <c r="G62" s="60">
        <v>6</v>
      </c>
      <c r="H62" s="61">
        <v>345.05</v>
      </c>
      <c r="I62" s="79">
        <v>0.2</v>
      </c>
      <c r="J62" s="61">
        <v>525.77600000000007</v>
      </c>
      <c r="K62" s="79">
        <f t="shared" si="0"/>
        <v>0.52376756991740336</v>
      </c>
      <c r="L62" s="68">
        <v>525.77600000000007</v>
      </c>
      <c r="M62" s="68">
        <v>525.77600000000007</v>
      </c>
      <c r="N62" s="68">
        <v>525.77600000000007</v>
      </c>
      <c r="O62" s="68">
        <v>525.77600000000007</v>
      </c>
      <c r="P62" s="68">
        <v>525.77600000000007</v>
      </c>
      <c r="Q62" s="68">
        <v>525.77600000000007</v>
      </c>
      <c r="R62" s="67" t="s">
        <v>303</v>
      </c>
      <c r="S62" s="67"/>
    </row>
    <row r="63" spans="1:19" s="63" customFormat="1" ht="120" customHeight="1" x14ac:dyDescent="0.25">
      <c r="A63" s="67"/>
      <c r="B63" s="59" t="s">
        <v>109</v>
      </c>
      <c r="C63" s="60">
        <v>22012</v>
      </c>
      <c r="D63" s="59" t="s">
        <v>159</v>
      </c>
      <c r="E63" s="59" t="s">
        <v>448</v>
      </c>
      <c r="F63" s="60" t="s">
        <v>158</v>
      </c>
      <c r="G63" s="60">
        <v>25</v>
      </c>
      <c r="H63" s="61">
        <v>80.92</v>
      </c>
      <c r="I63" s="79">
        <v>0.2</v>
      </c>
      <c r="J63" s="61">
        <v>123.29600000000001</v>
      </c>
      <c r="K63" s="79">
        <f t="shared" si="0"/>
        <v>0.52367770637666844</v>
      </c>
      <c r="L63" s="68">
        <v>123.29600000000001</v>
      </c>
      <c r="M63" s="68">
        <v>123.29600000000001</v>
      </c>
      <c r="N63" s="68">
        <v>123.29600000000001</v>
      </c>
      <c r="O63" s="68">
        <v>123.29600000000001</v>
      </c>
      <c r="P63" s="68">
        <v>123.29600000000001</v>
      </c>
      <c r="Q63" s="68">
        <v>123.29600000000001</v>
      </c>
      <c r="R63" s="67" t="s">
        <v>161</v>
      </c>
      <c r="S63" s="67"/>
    </row>
    <row r="64" spans="1:19" s="63" customFormat="1" ht="120" customHeight="1" x14ac:dyDescent="0.25">
      <c r="A64" s="67"/>
      <c r="B64" s="59" t="s">
        <v>110</v>
      </c>
      <c r="C64" s="60">
        <v>22013</v>
      </c>
      <c r="D64" s="59" t="s">
        <v>159</v>
      </c>
      <c r="E64" s="59" t="s">
        <v>449</v>
      </c>
      <c r="F64" s="60" t="s">
        <v>158</v>
      </c>
      <c r="G64" s="60">
        <v>20</v>
      </c>
      <c r="H64" s="61">
        <v>112.98</v>
      </c>
      <c r="I64" s="79">
        <v>0.2</v>
      </c>
      <c r="J64" s="61">
        <v>172.16</v>
      </c>
      <c r="K64" s="79">
        <f t="shared" si="0"/>
        <v>0.52380952380952372</v>
      </c>
      <c r="L64" s="68">
        <v>172.16</v>
      </c>
      <c r="M64" s="68">
        <v>172.16</v>
      </c>
      <c r="N64" s="68">
        <v>172.16</v>
      </c>
      <c r="O64" s="68">
        <v>172.16</v>
      </c>
      <c r="P64" s="68">
        <v>172.16</v>
      </c>
      <c r="Q64" s="68">
        <v>172.16</v>
      </c>
      <c r="R64" s="67" t="s">
        <v>161</v>
      </c>
      <c r="S64" s="67"/>
    </row>
    <row r="65" spans="1:19" s="63" customFormat="1" ht="120" customHeight="1" x14ac:dyDescent="0.25">
      <c r="A65" s="67"/>
      <c r="B65" s="59" t="s">
        <v>111</v>
      </c>
      <c r="C65" s="60">
        <v>22039</v>
      </c>
      <c r="D65" s="59" t="s">
        <v>159</v>
      </c>
      <c r="E65" s="59" t="s">
        <v>450</v>
      </c>
      <c r="F65" s="60" t="s">
        <v>158</v>
      </c>
      <c r="G65" s="60">
        <v>25</v>
      </c>
      <c r="H65" s="61">
        <v>160.32</v>
      </c>
      <c r="I65" s="79">
        <v>0.2</v>
      </c>
      <c r="J65" s="61">
        <v>244.28800000000001</v>
      </c>
      <c r="K65" s="79">
        <f t="shared" si="0"/>
        <v>0.52375249500998011</v>
      </c>
      <c r="L65" s="68">
        <v>244.28800000000001</v>
      </c>
      <c r="M65" s="68">
        <v>244.28800000000001</v>
      </c>
      <c r="N65" s="68">
        <v>244.28800000000001</v>
      </c>
      <c r="O65" s="68">
        <v>244.28800000000001</v>
      </c>
      <c r="P65" s="68">
        <v>244.28800000000001</v>
      </c>
      <c r="Q65" s="68">
        <v>244.28800000000001</v>
      </c>
      <c r="R65" s="67" t="s">
        <v>161</v>
      </c>
      <c r="S65" s="67"/>
    </row>
    <row r="66" spans="1:19" s="63" customFormat="1" ht="120" customHeight="1" x14ac:dyDescent="0.25">
      <c r="A66" s="67"/>
      <c r="B66" s="59" t="s">
        <v>112</v>
      </c>
      <c r="C66" s="60">
        <v>22059</v>
      </c>
      <c r="D66" s="59" t="s">
        <v>159</v>
      </c>
      <c r="E66" s="59" t="s">
        <v>451</v>
      </c>
      <c r="F66" s="60" t="s">
        <v>158</v>
      </c>
      <c r="G66" s="60">
        <v>5</v>
      </c>
      <c r="H66" s="61">
        <v>213.75</v>
      </c>
      <c r="I66" s="79">
        <v>0.2</v>
      </c>
      <c r="J66" s="61">
        <v>325.71199999999999</v>
      </c>
      <c r="K66" s="79">
        <f t="shared" si="0"/>
        <v>0.5237988304093566</v>
      </c>
      <c r="L66" s="68">
        <v>325.71199999999999</v>
      </c>
      <c r="M66" s="68">
        <v>325.71199999999999</v>
      </c>
      <c r="N66" s="68">
        <v>325.71199999999999</v>
      </c>
      <c r="O66" s="68">
        <v>325.71199999999999</v>
      </c>
      <c r="P66" s="68">
        <v>325.71199999999999</v>
      </c>
      <c r="Q66" s="68">
        <v>325.71199999999999</v>
      </c>
      <c r="R66" s="67" t="s">
        <v>161</v>
      </c>
      <c r="S66" s="67"/>
    </row>
    <row r="67" spans="1:19" s="63" customFormat="1" ht="120" customHeight="1" x14ac:dyDescent="0.25">
      <c r="A67" s="67"/>
      <c r="B67" s="59" t="s">
        <v>113</v>
      </c>
      <c r="C67" s="60">
        <v>25001</v>
      </c>
      <c r="D67" s="59" t="s">
        <v>159</v>
      </c>
      <c r="E67" s="59" t="s">
        <v>447</v>
      </c>
      <c r="F67" s="60" t="s">
        <v>158</v>
      </c>
      <c r="G67" s="60">
        <v>12</v>
      </c>
      <c r="H67" s="61">
        <v>120.63000000000001</v>
      </c>
      <c r="I67" s="79">
        <v>0.2</v>
      </c>
      <c r="J67" s="61">
        <v>183.80799999999999</v>
      </c>
      <c r="K67" s="79">
        <f t="shared" si="0"/>
        <v>0.52373373124430067</v>
      </c>
      <c r="L67" s="68">
        <v>183.80799999999999</v>
      </c>
      <c r="M67" s="68">
        <v>183.80799999999999</v>
      </c>
      <c r="N67" s="68">
        <v>183.80799999999999</v>
      </c>
      <c r="O67" s="68">
        <v>183.80799999999999</v>
      </c>
      <c r="P67" s="68">
        <v>183.80799999999999</v>
      </c>
      <c r="Q67" s="68">
        <v>183.80799999999999</v>
      </c>
      <c r="R67" s="67" t="s">
        <v>187</v>
      </c>
      <c r="S67" s="67"/>
    </row>
    <row r="68" spans="1:19" s="63" customFormat="1" ht="120" customHeight="1" x14ac:dyDescent="0.25">
      <c r="A68" s="67"/>
      <c r="B68" s="59" t="s">
        <v>114</v>
      </c>
      <c r="C68" s="60">
        <v>25003</v>
      </c>
      <c r="D68" s="59" t="s">
        <v>159</v>
      </c>
      <c r="E68" s="59" t="s">
        <v>447</v>
      </c>
      <c r="F68" s="60" t="s">
        <v>158</v>
      </c>
      <c r="G68" s="60">
        <v>12</v>
      </c>
      <c r="H68" s="61">
        <v>149.63</v>
      </c>
      <c r="I68" s="79">
        <v>0.2</v>
      </c>
      <c r="J68" s="61">
        <v>228</v>
      </c>
      <c r="K68" s="79">
        <f t="shared" si="0"/>
        <v>0.52375860455790946</v>
      </c>
      <c r="L68" s="68">
        <v>228</v>
      </c>
      <c r="M68" s="68">
        <v>228</v>
      </c>
      <c r="N68" s="68">
        <v>228</v>
      </c>
      <c r="O68" s="68">
        <v>228</v>
      </c>
      <c r="P68" s="68">
        <v>228</v>
      </c>
      <c r="Q68" s="68">
        <v>228</v>
      </c>
      <c r="R68" s="67" t="s">
        <v>187</v>
      </c>
      <c r="S68" s="67"/>
    </row>
    <row r="69" spans="1:19" s="63" customFormat="1" ht="120" customHeight="1" x14ac:dyDescent="0.25">
      <c r="A69" s="67"/>
      <c r="B69" s="59" t="s">
        <v>115</v>
      </c>
      <c r="C69" s="60">
        <v>25005</v>
      </c>
      <c r="D69" s="59" t="s">
        <v>159</v>
      </c>
      <c r="E69" s="59" t="s">
        <v>447</v>
      </c>
      <c r="F69" s="60" t="s">
        <v>158</v>
      </c>
      <c r="G69" s="60">
        <v>12</v>
      </c>
      <c r="H69" s="61">
        <v>149.63</v>
      </c>
      <c r="I69" s="79">
        <v>0.2</v>
      </c>
      <c r="J69" s="61">
        <v>228</v>
      </c>
      <c r="K69" s="79">
        <f t="shared" si="0"/>
        <v>0.52375860455790946</v>
      </c>
      <c r="L69" s="68">
        <v>228</v>
      </c>
      <c r="M69" s="68">
        <v>228</v>
      </c>
      <c r="N69" s="68">
        <v>228</v>
      </c>
      <c r="O69" s="68">
        <v>228</v>
      </c>
      <c r="P69" s="68">
        <v>228</v>
      </c>
      <c r="Q69" s="68">
        <v>228</v>
      </c>
      <c r="R69" s="67" t="s">
        <v>187</v>
      </c>
      <c r="S69" s="67"/>
    </row>
    <row r="70" spans="1:19" s="63" customFormat="1" ht="120" customHeight="1" x14ac:dyDescent="0.25">
      <c r="A70" s="67"/>
      <c r="B70" s="59" t="s">
        <v>116</v>
      </c>
      <c r="C70" s="60">
        <v>25007</v>
      </c>
      <c r="D70" s="59" t="s">
        <v>159</v>
      </c>
      <c r="E70" s="59" t="s">
        <v>447</v>
      </c>
      <c r="F70" s="60" t="s">
        <v>158</v>
      </c>
      <c r="G70" s="60">
        <v>12</v>
      </c>
      <c r="H70" s="61">
        <v>152.69</v>
      </c>
      <c r="I70" s="79">
        <v>0.2</v>
      </c>
      <c r="J70" s="61">
        <v>232.65600000000001</v>
      </c>
      <c r="K70" s="79">
        <f t="shared" si="0"/>
        <v>0.52371471609142706</v>
      </c>
      <c r="L70" s="68">
        <v>232.65600000000001</v>
      </c>
      <c r="M70" s="68">
        <v>232.65600000000001</v>
      </c>
      <c r="N70" s="68">
        <v>232.65600000000001</v>
      </c>
      <c r="O70" s="68">
        <v>232.65600000000001</v>
      </c>
      <c r="P70" s="68">
        <v>232.65600000000001</v>
      </c>
      <c r="Q70" s="68">
        <v>232.65600000000001</v>
      </c>
      <c r="R70" s="67" t="s">
        <v>161</v>
      </c>
      <c r="S70" s="67"/>
    </row>
    <row r="71" spans="1:19" s="63" customFormat="1" ht="120" customHeight="1" x14ac:dyDescent="0.25">
      <c r="A71" s="67"/>
      <c r="B71" s="59" t="s">
        <v>117</v>
      </c>
      <c r="C71" s="60">
        <v>25011</v>
      </c>
      <c r="D71" s="59" t="s">
        <v>159</v>
      </c>
      <c r="E71" s="59" t="s">
        <v>447</v>
      </c>
      <c r="F71" s="60" t="s">
        <v>158</v>
      </c>
      <c r="G71" s="60">
        <v>10</v>
      </c>
      <c r="H71" s="61">
        <v>780.18</v>
      </c>
      <c r="I71" s="79">
        <v>0.2</v>
      </c>
      <c r="J71" s="61">
        <v>1188.8320000000001</v>
      </c>
      <c r="K71" s="79">
        <f t="shared" si="0"/>
        <v>0.52379194544848651</v>
      </c>
      <c r="L71" s="68">
        <v>1188.8320000000001</v>
      </c>
      <c r="M71" s="68">
        <v>1188.8320000000001</v>
      </c>
      <c r="N71" s="68">
        <v>1188.8320000000001</v>
      </c>
      <c r="O71" s="68">
        <v>1188.8320000000001</v>
      </c>
      <c r="P71" s="68">
        <v>1188.8320000000001</v>
      </c>
      <c r="Q71" s="68">
        <v>1188.8320000000001</v>
      </c>
      <c r="R71" s="67" t="s">
        <v>187</v>
      </c>
      <c r="S71" s="67"/>
    </row>
    <row r="72" spans="1:19" s="63" customFormat="1" ht="120" customHeight="1" x14ac:dyDescent="0.25">
      <c r="A72" s="67"/>
      <c r="B72" s="59" t="s">
        <v>118</v>
      </c>
      <c r="C72" s="60">
        <v>25014</v>
      </c>
      <c r="D72" s="59" t="s">
        <v>159</v>
      </c>
      <c r="E72" s="59" t="s">
        <v>447</v>
      </c>
      <c r="F72" s="60" t="s">
        <v>158</v>
      </c>
      <c r="G72" s="60">
        <v>12</v>
      </c>
      <c r="H72" s="61">
        <v>132.84</v>
      </c>
      <c r="I72" s="79">
        <v>0.2</v>
      </c>
      <c r="J72" s="61">
        <v>202.41600000000003</v>
      </c>
      <c r="K72" s="79">
        <f t="shared" si="0"/>
        <v>0.52375790424570923</v>
      </c>
      <c r="L72" s="68">
        <v>202.41600000000003</v>
      </c>
      <c r="M72" s="68">
        <v>202.41600000000003</v>
      </c>
      <c r="N72" s="68">
        <v>202.41600000000003</v>
      </c>
      <c r="O72" s="68">
        <v>202.41600000000003</v>
      </c>
      <c r="P72" s="68">
        <v>202.41600000000003</v>
      </c>
      <c r="Q72" s="68">
        <v>202.41600000000003</v>
      </c>
      <c r="R72" s="67" t="s">
        <v>161</v>
      </c>
      <c r="S72" s="67"/>
    </row>
    <row r="73" spans="1:19" s="63" customFormat="1" ht="120" customHeight="1" x14ac:dyDescent="0.25">
      <c r="A73" s="67"/>
      <c r="B73" s="59" t="s">
        <v>119</v>
      </c>
      <c r="C73" s="60">
        <v>25017</v>
      </c>
      <c r="D73" s="59" t="s">
        <v>159</v>
      </c>
      <c r="E73" s="59" t="s">
        <v>447</v>
      </c>
      <c r="F73" s="60" t="s">
        <v>158</v>
      </c>
      <c r="G73" s="60">
        <v>12</v>
      </c>
      <c r="H73" s="61">
        <v>155.73999999999998</v>
      </c>
      <c r="I73" s="79">
        <v>0.2</v>
      </c>
      <c r="J73" s="61">
        <v>237.31200000000001</v>
      </c>
      <c r="K73" s="79">
        <f t="shared" si="0"/>
        <v>0.52377038654167229</v>
      </c>
      <c r="L73" s="68">
        <v>237.31200000000001</v>
      </c>
      <c r="M73" s="68">
        <v>237.31200000000001</v>
      </c>
      <c r="N73" s="68">
        <v>237.31200000000001</v>
      </c>
      <c r="O73" s="68">
        <v>237.31200000000001</v>
      </c>
      <c r="P73" s="68">
        <v>237.31200000000001</v>
      </c>
      <c r="Q73" s="68">
        <v>237.31200000000001</v>
      </c>
      <c r="R73" s="67" t="s">
        <v>303</v>
      </c>
      <c r="S73" s="67"/>
    </row>
    <row r="74" spans="1:19" s="63" customFormat="1" ht="120" customHeight="1" x14ac:dyDescent="0.25">
      <c r="A74" s="67"/>
      <c r="B74" s="59" t="s">
        <v>120</v>
      </c>
      <c r="C74" s="60">
        <v>25021</v>
      </c>
      <c r="D74" s="59" t="s">
        <v>159</v>
      </c>
      <c r="E74" s="59" t="s">
        <v>447</v>
      </c>
      <c r="F74" s="60" t="s">
        <v>158</v>
      </c>
      <c r="G74" s="60">
        <v>12</v>
      </c>
      <c r="H74" s="61">
        <v>155.73999999999998</v>
      </c>
      <c r="I74" s="79">
        <v>0.2</v>
      </c>
      <c r="J74" s="61">
        <v>237.31200000000001</v>
      </c>
      <c r="K74" s="79">
        <f t="shared" si="0"/>
        <v>0.52377038654167229</v>
      </c>
      <c r="L74" s="68">
        <v>237.31200000000001</v>
      </c>
      <c r="M74" s="68">
        <v>237.31200000000001</v>
      </c>
      <c r="N74" s="68">
        <v>237.31200000000001</v>
      </c>
      <c r="O74" s="68">
        <v>237.31200000000001</v>
      </c>
      <c r="P74" s="68">
        <v>237.31200000000001</v>
      </c>
      <c r="Q74" s="68">
        <v>237.31200000000001</v>
      </c>
      <c r="R74" s="67" t="s">
        <v>187</v>
      </c>
      <c r="S74" s="67"/>
    </row>
    <row r="75" spans="1:19" s="62" customFormat="1" ht="120" customHeight="1" x14ac:dyDescent="0.25">
      <c r="A75" s="67"/>
      <c r="B75" s="59" t="s">
        <v>121</v>
      </c>
      <c r="C75" s="60">
        <v>25022</v>
      </c>
      <c r="D75" s="59" t="s">
        <v>159</v>
      </c>
      <c r="E75" s="59" t="s">
        <v>447</v>
      </c>
      <c r="F75" s="60" t="s">
        <v>158</v>
      </c>
      <c r="G75" s="60">
        <v>12</v>
      </c>
      <c r="H75" s="61">
        <v>119.09</v>
      </c>
      <c r="I75" s="79">
        <v>0.2</v>
      </c>
      <c r="J75" s="61">
        <v>181.45600000000002</v>
      </c>
      <c r="K75" s="79">
        <f t="shared" si="0"/>
        <v>0.52368796708371823</v>
      </c>
      <c r="L75" s="68">
        <v>181.45600000000002</v>
      </c>
      <c r="M75" s="68">
        <v>181.45600000000002</v>
      </c>
      <c r="N75" s="68">
        <v>181.45600000000002</v>
      </c>
      <c r="O75" s="68">
        <v>181.45600000000002</v>
      </c>
      <c r="P75" s="68">
        <v>181.45600000000002</v>
      </c>
      <c r="Q75" s="68">
        <v>181.45600000000002</v>
      </c>
      <c r="R75" s="67" t="s">
        <v>303</v>
      </c>
      <c r="S75" s="67"/>
    </row>
    <row r="76" spans="1:19" s="62" customFormat="1" ht="120" customHeight="1" x14ac:dyDescent="0.25">
      <c r="A76" s="67"/>
      <c r="B76" s="59" t="s">
        <v>122</v>
      </c>
      <c r="C76" s="60">
        <v>25023</v>
      </c>
      <c r="D76" s="59" t="s">
        <v>159</v>
      </c>
      <c r="E76" s="59" t="s">
        <v>447</v>
      </c>
      <c r="F76" s="60" t="s">
        <v>158</v>
      </c>
      <c r="G76" s="60">
        <v>12</v>
      </c>
      <c r="H76" s="61">
        <v>190.85</v>
      </c>
      <c r="I76" s="79">
        <v>0.2</v>
      </c>
      <c r="J76" s="61">
        <v>290.81599999999997</v>
      </c>
      <c r="K76" s="79">
        <f t="shared" ref="K76:K139" si="1">+J76/H76-1</f>
        <v>0.52379355514802195</v>
      </c>
      <c r="L76" s="68">
        <v>290.81599999999997</v>
      </c>
      <c r="M76" s="68">
        <v>290.81599999999997</v>
      </c>
      <c r="N76" s="68">
        <v>290.81599999999997</v>
      </c>
      <c r="O76" s="68">
        <v>290.81599999999997</v>
      </c>
      <c r="P76" s="68">
        <v>290.81599999999997</v>
      </c>
      <c r="Q76" s="68">
        <v>290.81599999999997</v>
      </c>
      <c r="R76" s="67" t="s">
        <v>187</v>
      </c>
      <c r="S76" s="67"/>
    </row>
    <row r="77" spans="1:19" s="62" customFormat="1" ht="120" customHeight="1" x14ac:dyDescent="0.25">
      <c r="A77" s="67"/>
      <c r="B77" s="59" t="s">
        <v>123</v>
      </c>
      <c r="C77" s="60">
        <v>25028</v>
      </c>
      <c r="D77" s="59" t="s">
        <v>159</v>
      </c>
      <c r="E77" s="59" t="s">
        <v>447</v>
      </c>
      <c r="F77" s="60" t="s">
        <v>158</v>
      </c>
      <c r="G77" s="60">
        <v>12</v>
      </c>
      <c r="H77" s="61">
        <v>145.04999999999998</v>
      </c>
      <c r="I77" s="79">
        <v>0.2</v>
      </c>
      <c r="J77" s="61">
        <v>221.024</v>
      </c>
      <c r="K77" s="79">
        <f t="shared" si="1"/>
        <v>0.52377800758359205</v>
      </c>
      <c r="L77" s="68">
        <v>221.024</v>
      </c>
      <c r="M77" s="68">
        <v>221.024</v>
      </c>
      <c r="N77" s="68">
        <v>221.024</v>
      </c>
      <c r="O77" s="68">
        <v>221.024</v>
      </c>
      <c r="P77" s="68">
        <v>221.024</v>
      </c>
      <c r="Q77" s="68">
        <v>221.024</v>
      </c>
      <c r="R77" s="67" t="s">
        <v>303</v>
      </c>
      <c r="S77" s="67"/>
    </row>
    <row r="78" spans="1:19" s="62" customFormat="1" ht="120" customHeight="1" x14ac:dyDescent="0.25">
      <c r="A78" s="67"/>
      <c r="B78" s="59" t="s">
        <v>124</v>
      </c>
      <c r="C78" s="60">
        <v>25029</v>
      </c>
      <c r="D78" s="59" t="s">
        <v>159</v>
      </c>
      <c r="E78" s="59" t="s">
        <v>447</v>
      </c>
      <c r="F78" s="60" t="s">
        <v>158</v>
      </c>
      <c r="G78" s="60">
        <v>12</v>
      </c>
      <c r="H78" s="61">
        <v>166.42999999999998</v>
      </c>
      <c r="I78" s="79">
        <v>0.2</v>
      </c>
      <c r="J78" s="61">
        <v>253.60000000000002</v>
      </c>
      <c r="K78" s="79">
        <f t="shared" si="1"/>
        <v>0.52376374451721475</v>
      </c>
      <c r="L78" s="68">
        <v>253.60000000000002</v>
      </c>
      <c r="M78" s="68">
        <v>253.60000000000002</v>
      </c>
      <c r="N78" s="68">
        <v>253.60000000000002</v>
      </c>
      <c r="O78" s="68">
        <v>253.60000000000002</v>
      </c>
      <c r="P78" s="68">
        <v>253.60000000000002</v>
      </c>
      <c r="Q78" s="68">
        <v>253.60000000000002</v>
      </c>
      <c r="R78" s="67" t="s">
        <v>303</v>
      </c>
      <c r="S78" s="67"/>
    </row>
    <row r="79" spans="1:19" s="62" customFormat="1" ht="120" customHeight="1" x14ac:dyDescent="0.25">
      <c r="A79" s="67"/>
      <c r="B79" s="59" t="s">
        <v>125</v>
      </c>
      <c r="C79" s="60">
        <v>25035</v>
      </c>
      <c r="D79" s="59" t="s">
        <v>159</v>
      </c>
      <c r="E79" s="59" t="s">
        <v>447</v>
      </c>
      <c r="F79" s="60" t="s">
        <v>158</v>
      </c>
      <c r="G79" s="60">
        <v>12</v>
      </c>
      <c r="H79" s="61">
        <v>415.28999999999996</v>
      </c>
      <c r="I79" s="79">
        <v>0.2</v>
      </c>
      <c r="J79" s="61">
        <v>632.81600000000003</v>
      </c>
      <c r="K79" s="79">
        <f t="shared" si="1"/>
        <v>0.52379301211201823</v>
      </c>
      <c r="L79" s="68">
        <v>632.81600000000003</v>
      </c>
      <c r="M79" s="68">
        <v>632.81600000000003</v>
      </c>
      <c r="N79" s="68">
        <v>632.81600000000003</v>
      </c>
      <c r="O79" s="68">
        <v>632.81600000000003</v>
      </c>
      <c r="P79" s="68">
        <v>632.81600000000003</v>
      </c>
      <c r="Q79" s="68">
        <v>632.81600000000003</v>
      </c>
      <c r="R79" s="67" t="s">
        <v>161</v>
      </c>
      <c r="S79" s="67"/>
    </row>
    <row r="80" spans="1:19" s="62" customFormat="1" ht="120" customHeight="1" x14ac:dyDescent="0.25">
      <c r="A80" s="67"/>
      <c r="B80" s="59" t="s">
        <v>126</v>
      </c>
      <c r="C80" s="60">
        <v>25082</v>
      </c>
      <c r="D80" s="59" t="s">
        <v>159</v>
      </c>
      <c r="E80" s="59" t="s">
        <v>447</v>
      </c>
      <c r="F80" s="60" t="s">
        <v>158</v>
      </c>
      <c r="G80" s="60">
        <v>12</v>
      </c>
      <c r="H80" s="61">
        <v>203.06</v>
      </c>
      <c r="I80" s="79">
        <v>0.2</v>
      </c>
      <c r="J80" s="61">
        <v>309.42399999999998</v>
      </c>
      <c r="K80" s="79">
        <f t="shared" si="1"/>
        <v>0.5238057716930955</v>
      </c>
      <c r="L80" s="68">
        <v>309.42399999999998</v>
      </c>
      <c r="M80" s="68">
        <v>309.42399999999998</v>
      </c>
      <c r="N80" s="68">
        <v>309.42399999999998</v>
      </c>
      <c r="O80" s="68">
        <v>309.42399999999998</v>
      </c>
      <c r="P80" s="68">
        <v>309.42399999999998</v>
      </c>
      <c r="Q80" s="68">
        <v>309.42399999999998</v>
      </c>
      <c r="R80" s="67" t="s">
        <v>303</v>
      </c>
      <c r="S80" s="67"/>
    </row>
    <row r="81" spans="1:19" s="62" customFormat="1" ht="120" customHeight="1" x14ac:dyDescent="0.25">
      <c r="A81" s="67"/>
      <c r="B81" s="59" t="s">
        <v>127</v>
      </c>
      <c r="C81" s="60">
        <v>25091</v>
      </c>
      <c r="D81" s="59" t="s">
        <v>159</v>
      </c>
      <c r="E81" s="59" t="s">
        <v>447</v>
      </c>
      <c r="F81" s="60" t="s">
        <v>158</v>
      </c>
      <c r="G81" s="60">
        <v>12</v>
      </c>
      <c r="H81" s="61">
        <v>177.10999999999999</v>
      </c>
      <c r="I81" s="79">
        <v>0.2</v>
      </c>
      <c r="J81" s="61">
        <v>269.87200000000001</v>
      </c>
      <c r="K81" s="79">
        <f t="shared" si="1"/>
        <v>0.52375359945796429</v>
      </c>
      <c r="L81" s="68">
        <v>269.87200000000001</v>
      </c>
      <c r="M81" s="68">
        <v>269.87200000000001</v>
      </c>
      <c r="N81" s="68">
        <v>269.87200000000001</v>
      </c>
      <c r="O81" s="68">
        <v>269.87200000000001</v>
      </c>
      <c r="P81" s="68">
        <v>269.87200000000001</v>
      </c>
      <c r="Q81" s="68">
        <v>269.87200000000001</v>
      </c>
      <c r="R81" s="67" t="s">
        <v>187</v>
      </c>
      <c r="S81" s="67"/>
    </row>
    <row r="82" spans="1:19" s="62" customFormat="1" ht="120" customHeight="1" x14ac:dyDescent="0.25">
      <c r="A82" s="67"/>
      <c r="B82" s="59" t="s">
        <v>128</v>
      </c>
      <c r="C82" s="60">
        <v>32012</v>
      </c>
      <c r="D82" s="59" t="s">
        <v>159</v>
      </c>
      <c r="E82" s="59" t="s">
        <v>448</v>
      </c>
      <c r="F82" s="60" t="s">
        <v>158</v>
      </c>
      <c r="G82" s="60">
        <v>25</v>
      </c>
      <c r="H82" s="61">
        <v>80.92</v>
      </c>
      <c r="I82" s="79">
        <v>0.2</v>
      </c>
      <c r="J82" s="61">
        <v>123.29600000000001</v>
      </c>
      <c r="K82" s="79">
        <f t="shared" si="1"/>
        <v>0.52367770637666844</v>
      </c>
      <c r="L82" s="68">
        <v>123.29600000000001</v>
      </c>
      <c r="M82" s="68">
        <v>123.29600000000001</v>
      </c>
      <c r="N82" s="68">
        <v>123.29600000000001</v>
      </c>
      <c r="O82" s="68">
        <v>123.29600000000001</v>
      </c>
      <c r="P82" s="68">
        <v>123.29600000000001</v>
      </c>
      <c r="Q82" s="68">
        <v>123.29600000000001</v>
      </c>
      <c r="R82" s="67" t="s">
        <v>161</v>
      </c>
      <c r="S82" s="67"/>
    </row>
    <row r="83" spans="1:19" s="62" customFormat="1" ht="120" customHeight="1" x14ac:dyDescent="0.25">
      <c r="A83" s="67"/>
      <c r="B83" s="59" t="s">
        <v>129</v>
      </c>
      <c r="C83" s="60">
        <v>32013</v>
      </c>
      <c r="D83" s="59" t="s">
        <v>159</v>
      </c>
      <c r="E83" s="59" t="s">
        <v>449</v>
      </c>
      <c r="F83" s="60" t="s">
        <v>158</v>
      </c>
      <c r="G83" s="60">
        <v>20</v>
      </c>
      <c r="H83" s="61">
        <v>112.98</v>
      </c>
      <c r="I83" s="79">
        <v>0.2</v>
      </c>
      <c r="J83" s="61">
        <v>172.16</v>
      </c>
      <c r="K83" s="79">
        <f t="shared" si="1"/>
        <v>0.52380952380952372</v>
      </c>
      <c r="L83" s="68">
        <v>172.16</v>
      </c>
      <c r="M83" s="68">
        <v>172.16</v>
      </c>
      <c r="N83" s="68">
        <v>172.16</v>
      </c>
      <c r="O83" s="68">
        <v>172.16</v>
      </c>
      <c r="P83" s="68">
        <v>172.16</v>
      </c>
      <c r="Q83" s="68">
        <v>172.16</v>
      </c>
      <c r="R83" s="67" t="s">
        <v>161</v>
      </c>
      <c r="S83" s="67"/>
    </row>
    <row r="84" spans="1:19" s="62" customFormat="1" ht="120" customHeight="1" x14ac:dyDescent="0.25">
      <c r="A84" s="67"/>
      <c r="B84" s="59" t="s">
        <v>130</v>
      </c>
      <c r="C84" s="60">
        <v>32039</v>
      </c>
      <c r="D84" s="59" t="s">
        <v>159</v>
      </c>
      <c r="E84" s="59" t="s">
        <v>450</v>
      </c>
      <c r="F84" s="60" t="s">
        <v>158</v>
      </c>
      <c r="G84" s="60">
        <v>25</v>
      </c>
      <c r="H84" s="61">
        <v>160.32</v>
      </c>
      <c r="I84" s="79">
        <v>0.2</v>
      </c>
      <c r="J84" s="61">
        <v>244.28800000000001</v>
      </c>
      <c r="K84" s="79">
        <f t="shared" si="1"/>
        <v>0.52375249500998011</v>
      </c>
      <c r="L84" s="68">
        <v>244.28800000000001</v>
      </c>
      <c r="M84" s="68">
        <v>244.28800000000001</v>
      </c>
      <c r="N84" s="68">
        <v>244.28800000000001</v>
      </c>
      <c r="O84" s="68">
        <v>244.28800000000001</v>
      </c>
      <c r="P84" s="68">
        <v>244.28800000000001</v>
      </c>
      <c r="Q84" s="68">
        <v>244.28800000000001</v>
      </c>
      <c r="R84" s="67" t="s">
        <v>161</v>
      </c>
      <c r="S84" s="67"/>
    </row>
    <row r="85" spans="1:19" s="62" customFormat="1" ht="120" customHeight="1" x14ac:dyDescent="0.25">
      <c r="A85" s="67"/>
      <c r="B85" s="59" t="s">
        <v>131</v>
      </c>
      <c r="C85" s="60">
        <v>32059</v>
      </c>
      <c r="D85" s="59" t="s">
        <v>159</v>
      </c>
      <c r="E85" s="59" t="s">
        <v>451</v>
      </c>
      <c r="F85" s="60" t="s">
        <v>158</v>
      </c>
      <c r="G85" s="60">
        <v>5</v>
      </c>
      <c r="H85" s="61">
        <v>213.75</v>
      </c>
      <c r="I85" s="79">
        <v>0.2</v>
      </c>
      <c r="J85" s="61">
        <v>325.71199999999999</v>
      </c>
      <c r="K85" s="79">
        <f t="shared" si="1"/>
        <v>0.5237988304093566</v>
      </c>
      <c r="L85" s="68">
        <v>325.71199999999999</v>
      </c>
      <c r="M85" s="68">
        <v>325.71199999999999</v>
      </c>
      <c r="N85" s="68">
        <v>325.71199999999999</v>
      </c>
      <c r="O85" s="68">
        <v>325.71199999999999</v>
      </c>
      <c r="P85" s="68">
        <v>325.71199999999999</v>
      </c>
      <c r="Q85" s="68">
        <v>325.71199999999999</v>
      </c>
      <c r="R85" s="67" t="s">
        <v>161</v>
      </c>
      <c r="S85" s="67"/>
    </row>
    <row r="86" spans="1:19" s="62" customFormat="1" ht="120" customHeight="1" x14ac:dyDescent="0.25">
      <c r="A86" s="67"/>
      <c r="B86" s="59" t="s">
        <v>132</v>
      </c>
      <c r="C86" s="60">
        <v>45101</v>
      </c>
      <c r="D86" s="59" t="s">
        <v>159</v>
      </c>
      <c r="E86" s="59" t="s">
        <v>452</v>
      </c>
      <c r="F86" s="60" t="s">
        <v>158</v>
      </c>
      <c r="G86" s="60">
        <v>10</v>
      </c>
      <c r="H86" s="61">
        <v>106.87</v>
      </c>
      <c r="I86" s="79">
        <v>0.2</v>
      </c>
      <c r="J86" s="61">
        <v>162.84800000000001</v>
      </c>
      <c r="K86" s="79">
        <f t="shared" si="1"/>
        <v>0.52379526527556841</v>
      </c>
      <c r="L86" s="68">
        <v>162.84800000000001</v>
      </c>
      <c r="M86" s="68">
        <v>162.84800000000001</v>
      </c>
      <c r="N86" s="68">
        <v>162.84800000000001</v>
      </c>
      <c r="O86" s="68">
        <v>162.84800000000001</v>
      </c>
      <c r="P86" s="68">
        <v>162.84800000000001</v>
      </c>
      <c r="Q86" s="68">
        <v>162.84800000000001</v>
      </c>
      <c r="R86" s="67" t="s">
        <v>187</v>
      </c>
      <c r="S86" s="67"/>
    </row>
    <row r="87" spans="1:19" s="62" customFormat="1" ht="120" customHeight="1" x14ac:dyDescent="0.25">
      <c r="A87" s="67"/>
      <c r="B87" s="59" t="s">
        <v>133</v>
      </c>
      <c r="C87" s="60">
        <v>45102</v>
      </c>
      <c r="D87" s="59" t="s">
        <v>159</v>
      </c>
      <c r="E87" s="59" t="s">
        <v>452</v>
      </c>
      <c r="F87" s="60" t="s">
        <v>158</v>
      </c>
      <c r="G87" s="60">
        <v>10</v>
      </c>
      <c r="H87" s="61">
        <v>106.87</v>
      </c>
      <c r="I87" s="79">
        <v>0.2</v>
      </c>
      <c r="J87" s="61">
        <v>162.84800000000001</v>
      </c>
      <c r="K87" s="79">
        <f t="shared" si="1"/>
        <v>0.52379526527556841</v>
      </c>
      <c r="L87" s="68">
        <v>162.84800000000001</v>
      </c>
      <c r="M87" s="68">
        <v>162.84800000000001</v>
      </c>
      <c r="N87" s="68">
        <v>162.84800000000001</v>
      </c>
      <c r="O87" s="68">
        <v>162.84800000000001</v>
      </c>
      <c r="P87" s="68">
        <v>162.84800000000001</v>
      </c>
      <c r="Q87" s="68">
        <v>162.84800000000001</v>
      </c>
      <c r="R87" s="67" t="s">
        <v>303</v>
      </c>
      <c r="S87" s="67"/>
    </row>
    <row r="88" spans="1:19" s="62" customFormat="1" ht="120" customHeight="1" x14ac:dyDescent="0.25">
      <c r="A88" s="67"/>
      <c r="B88" s="59" t="s">
        <v>134</v>
      </c>
      <c r="C88" s="60">
        <v>45103</v>
      </c>
      <c r="D88" s="59" t="s">
        <v>159</v>
      </c>
      <c r="E88" s="59" t="s">
        <v>452</v>
      </c>
      <c r="F88" s="60" t="s">
        <v>158</v>
      </c>
      <c r="G88" s="60">
        <v>10</v>
      </c>
      <c r="H88" s="61">
        <v>128.26</v>
      </c>
      <c r="I88" s="79">
        <v>0.2</v>
      </c>
      <c r="J88" s="61">
        <v>195.44000000000003</v>
      </c>
      <c r="K88" s="79">
        <f t="shared" si="1"/>
        <v>0.52377982223608321</v>
      </c>
      <c r="L88" s="68">
        <v>195.44000000000003</v>
      </c>
      <c r="M88" s="68">
        <v>195.44000000000003</v>
      </c>
      <c r="N88" s="68">
        <v>195.44000000000003</v>
      </c>
      <c r="O88" s="68">
        <v>195.44000000000003</v>
      </c>
      <c r="P88" s="68">
        <v>195.44000000000003</v>
      </c>
      <c r="Q88" s="68">
        <v>195.44000000000003</v>
      </c>
      <c r="R88" s="67" t="s">
        <v>187</v>
      </c>
      <c r="S88" s="67"/>
    </row>
    <row r="89" spans="1:19" s="62" customFormat="1" ht="120" customHeight="1" x14ac:dyDescent="0.25">
      <c r="A89" s="67"/>
      <c r="B89" s="59" t="s">
        <v>135</v>
      </c>
      <c r="C89" s="60">
        <v>45105</v>
      </c>
      <c r="D89" s="59" t="s">
        <v>159</v>
      </c>
      <c r="E89" s="59" t="s">
        <v>452</v>
      </c>
      <c r="F89" s="60" t="s">
        <v>158</v>
      </c>
      <c r="G89" s="60">
        <v>10</v>
      </c>
      <c r="H89" s="61">
        <v>122.14</v>
      </c>
      <c r="I89" s="79">
        <v>0.2</v>
      </c>
      <c r="J89" s="61">
        <v>186.11199999999999</v>
      </c>
      <c r="K89" s="79">
        <f t="shared" si="1"/>
        <v>0.52375962010807275</v>
      </c>
      <c r="L89" s="68">
        <v>186.11199999999999</v>
      </c>
      <c r="M89" s="68">
        <v>186.11199999999999</v>
      </c>
      <c r="N89" s="68">
        <v>186.11199999999999</v>
      </c>
      <c r="O89" s="68">
        <v>186.11199999999999</v>
      </c>
      <c r="P89" s="68">
        <v>186.11199999999999</v>
      </c>
      <c r="Q89" s="68">
        <v>186.11199999999999</v>
      </c>
      <c r="R89" s="67" t="s">
        <v>187</v>
      </c>
      <c r="S89" s="67"/>
    </row>
    <row r="90" spans="1:19" s="62" customFormat="1" ht="120" customHeight="1" x14ac:dyDescent="0.25">
      <c r="A90" s="67"/>
      <c r="B90" s="59" t="s">
        <v>136</v>
      </c>
      <c r="C90" s="60">
        <v>45108</v>
      </c>
      <c r="D90" s="59" t="s">
        <v>159</v>
      </c>
      <c r="E90" s="59" t="s">
        <v>452</v>
      </c>
      <c r="F90" s="60" t="s">
        <v>158</v>
      </c>
      <c r="G90" s="60">
        <v>10</v>
      </c>
      <c r="H90" s="61">
        <v>128.26</v>
      </c>
      <c r="I90" s="79">
        <v>0.2</v>
      </c>
      <c r="J90" s="61">
        <v>195.44000000000003</v>
      </c>
      <c r="K90" s="79">
        <f t="shared" si="1"/>
        <v>0.52377982223608321</v>
      </c>
      <c r="L90" s="68">
        <v>195.44000000000003</v>
      </c>
      <c r="M90" s="68">
        <v>195.44000000000003</v>
      </c>
      <c r="N90" s="68">
        <v>195.44000000000003</v>
      </c>
      <c r="O90" s="68">
        <v>195.44000000000003</v>
      </c>
      <c r="P90" s="68">
        <v>195.44000000000003</v>
      </c>
      <c r="Q90" s="68">
        <v>195.44000000000003</v>
      </c>
      <c r="R90" s="67" t="s">
        <v>303</v>
      </c>
      <c r="S90" s="67"/>
    </row>
    <row r="91" spans="1:19" s="62" customFormat="1" ht="120" customHeight="1" x14ac:dyDescent="0.25">
      <c r="A91" s="67"/>
      <c r="B91" s="59" t="s">
        <v>137</v>
      </c>
      <c r="C91" s="60">
        <v>45117</v>
      </c>
      <c r="D91" s="59" t="s">
        <v>159</v>
      </c>
      <c r="E91" s="59" t="s">
        <v>453</v>
      </c>
      <c r="F91" s="60" t="s">
        <v>158</v>
      </c>
      <c r="G91" s="60">
        <v>10</v>
      </c>
      <c r="H91" s="61">
        <v>134.35999999999999</v>
      </c>
      <c r="I91" s="79">
        <v>0.2</v>
      </c>
      <c r="J91" s="61">
        <v>204.73599999999999</v>
      </c>
      <c r="K91" s="79">
        <f t="shared" si="1"/>
        <v>0.52378684132182207</v>
      </c>
      <c r="L91" s="68">
        <v>204.73599999999999</v>
      </c>
      <c r="M91" s="68">
        <v>204.73599999999999</v>
      </c>
      <c r="N91" s="68">
        <v>204.73599999999999</v>
      </c>
      <c r="O91" s="68">
        <v>204.73599999999999</v>
      </c>
      <c r="P91" s="68">
        <v>204.73599999999999</v>
      </c>
      <c r="Q91" s="68">
        <v>204.73599999999999</v>
      </c>
      <c r="R91" s="67" t="s">
        <v>303</v>
      </c>
      <c r="S91" s="67"/>
    </row>
    <row r="92" spans="1:19" s="62" customFormat="1" ht="120" customHeight="1" x14ac:dyDescent="0.25">
      <c r="A92" s="67"/>
      <c r="B92" s="59" t="s">
        <v>138</v>
      </c>
      <c r="C92" s="60">
        <v>45121</v>
      </c>
      <c r="D92" s="59" t="s">
        <v>159</v>
      </c>
      <c r="E92" s="59" t="s">
        <v>452</v>
      </c>
      <c r="F92" s="60" t="s">
        <v>158</v>
      </c>
      <c r="G92" s="60">
        <v>10</v>
      </c>
      <c r="H92" s="61">
        <v>122.14</v>
      </c>
      <c r="I92" s="79">
        <v>0.2</v>
      </c>
      <c r="J92" s="61">
        <v>186.11199999999999</v>
      </c>
      <c r="K92" s="79">
        <f t="shared" si="1"/>
        <v>0.52375962010807275</v>
      </c>
      <c r="L92" s="68">
        <v>186.11199999999999</v>
      </c>
      <c r="M92" s="68">
        <v>186.11199999999999</v>
      </c>
      <c r="N92" s="68">
        <v>186.11199999999999</v>
      </c>
      <c r="O92" s="68">
        <v>186.11199999999999</v>
      </c>
      <c r="P92" s="68">
        <v>186.11199999999999</v>
      </c>
      <c r="Q92" s="68">
        <v>186.11199999999999</v>
      </c>
      <c r="R92" s="67" t="s">
        <v>187</v>
      </c>
      <c r="S92" s="67"/>
    </row>
    <row r="93" spans="1:19" s="62" customFormat="1" ht="120" customHeight="1" x14ac:dyDescent="0.25">
      <c r="A93" s="67"/>
      <c r="B93" s="59" t="s">
        <v>139</v>
      </c>
      <c r="C93" s="60">
        <v>45123</v>
      </c>
      <c r="D93" s="59" t="s">
        <v>159</v>
      </c>
      <c r="E93" s="59" t="s">
        <v>452</v>
      </c>
      <c r="F93" s="60" t="s">
        <v>158</v>
      </c>
      <c r="G93" s="60">
        <v>10</v>
      </c>
      <c r="H93" s="61">
        <v>152.69</v>
      </c>
      <c r="I93" s="79">
        <v>0.2</v>
      </c>
      <c r="J93" s="61">
        <v>232.65600000000001</v>
      </c>
      <c r="K93" s="79">
        <f t="shared" si="1"/>
        <v>0.52371471609142706</v>
      </c>
      <c r="L93" s="68">
        <v>232.65600000000001</v>
      </c>
      <c r="M93" s="68">
        <v>232.65600000000001</v>
      </c>
      <c r="N93" s="68">
        <v>232.65600000000001</v>
      </c>
      <c r="O93" s="68">
        <v>232.65600000000001</v>
      </c>
      <c r="P93" s="68">
        <v>232.65600000000001</v>
      </c>
      <c r="Q93" s="68">
        <v>232.65600000000001</v>
      </c>
      <c r="R93" s="67" t="s">
        <v>187</v>
      </c>
      <c r="S93" s="67"/>
    </row>
    <row r="94" spans="1:19" s="62" customFormat="1" ht="120" customHeight="1" x14ac:dyDescent="0.25">
      <c r="A94" s="67"/>
      <c r="B94" s="59" t="s">
        <v>140</v>
      </c>
      <c r="C94" s="60">
        <v>45182</v>
      </c>
      <c r="D94" s="59" t="s">
        <v>159</v>
      </c>
      <c r="E94" s="59" t="s">
        <v>453</v>
      </c>
      <c r="F94" s="60" t="s">
        <v>158</v>
      </c>
      <c r="G94" s="60">
        <v>10</v>
      </c>
      <c r="H94" s="61">
        <v>171.01</v>
      </c>
      <c r="I94" s="79">
        <v>0.2</v>
      </c>
      <c r="J94" s="61">
        <v>260.57600000000002</v>
      </c>
      <c r="K94" s="79">
        <f t="shared" si="1"/>
        <v>0.52374714928951538</v>
      </c>
      <c r="L94" s="68">
        <v>260.57600000000002</v>
      </c>
      <c r="M94" s="68">
        <v>260.57600000000002</v>
      </c>
      <c r="N94" s="68">
        <v>260.57600000000002</v>
      </c>
      <c r="O94" s="68">
        <v>260.57600000000002</v>
      </c>
      <c r="P94" s="68">
        <v>260.57600000000002</v>
      </c>
      <c r="Q94" s="68">
        <v>260.57600000000002</v>
      </c>
      <c r="R94" s="67" t="s">
        <v>303</v>
      </c>
      <c r="S94" s="67"/>
    </row>
    <row r="95" spans="1:19" s="62" customFormat="1" ht="120" customHeight="1" x14ac:dyDescent="0.25">
      <c r="A95" s="67"/>
      <c r="B95" s="59" t="s">
        <v>141</v>
      </c>
      <c r="C95" s="60">
        <v>45201</v>
      </c>
      <c r="D95" s="59" t="s">
        <v>159</v>
      </c>
      <c r="E95" s="59" t="s">
        <v>452</v>
      </c>
      <c r="F95" s="60" t="s">
        <v>158</v>
      </c>
      <c r="G95" s="60">
        <v>10</v>
      </c>
      <c r="H95" s="61">
        <v>106.87</v>
      </c>
      <c r="I95" s="79">
        <v>0.2</v>
      </c>
      <c r="J95" s="61">
        <v>162.84800000000001</v>
      </c>
      <c r="K95" s="79">
        <f t="shared" si="1"/>
        <v>0.52379526527556841</v>
      </c>
      <c r="L95" s="68">
        <v>162.84800000000001</v>
      </c>
      <c r="M95" s="68">
        <v>162.84800000000001</v>
      </c>
      <c r="N95" s="68">
        <v>162.84800000000001</v>
      </c>
      <c r="O95" s="68">
        <v>162.84800000000001</v>
      </c>
      <c r="P95" s="68">
        <v>162.84800000000001</v>
      </c>
      <c r="Q95" s="68">
        <v>162.84800000000001</v>
      </c>
      <c r="R95" s="67" t="s">
        <v>187</v>
      </c>
      <c r="S95" s="67"/>
    </row>
    <row r="96" spans="1:19" s="62" customFormat="1" ht="120" customHeight="1" x14ac:dyDescent="0.25">
      <c r="A96" s="67"/>
      <c r="B96" s="59" t="s">
        <v>142</v>
      </c>
      <c r="C96" s="60">
        <v>45202</v>
      </c>
      <c r="D96" s="59" t="s">
        <v>159</v>
      </c>
      <c r="E96" s="59" t="s">
        <v>452</v>
      </c>
      <c r="F96" s="60" t="s">
        <v>158</v>
      </c>
      <c r="G96" s="60">
        <v>10</v>
      </c>
      <c r="H96" s="61">
        <v>106.87</v>
      </c>
      <c r="I96" s="79">
        <v>0.2</v>
      </c>
      <c r="J96" s="61">
        <v>162.84800000000001</v>
      </c>
      <c r="K96" s="79">
        <f t="shared" si="1"/>
        <v>0.52379526527556841</v>
      </c>
      <c r="L96" s="68">
        <v>162.84800000000001</v>
      </c>
      <c r="M96" s="68">
        <v>162.84800000000001</v>
      </c>
      <c r="N96" s="68">
        <v>162.84800000000001</v>
      </c>
      <c r="O96" s="68">
        <v>162.84800000000001</v>
      </c>
      <c r="P96" s="68">
        <v>162.84800000000001</v>
      </c>
      <c r="Q96" s="68">
        <v>162.84800000000001</v>
      </c>
      <c r="R96" s="67" t="s">
        <v>303</v>
      </c>
      <c r="S96" s="67"/>
    </row>
    <row r="97" spans="1:19" s="62" customFormat="1" ht="120" customHeight="1" x14ac:dyDescent="0.25">
      <c r="A97" s="67"/>
      <c r="B97" s="59" t="s">
        <v>143</v>
      </c>
      <c r="C97" s="60">
        <v>45203</v>
      </c>
      <c r="D97" s="59" t="s">
        <v>159</v>
      </c>
      <c r="E97" s="59" t="s">
        <v>452</v>
      </c>
      <c r="F97" s="60" t="s">
        <v>158</v>
      </c>
      <c r="G97" s="60">
        <v>10</v>
      </c>
      <c r="H97" s="61">
        <v>128.26</v>
      </c>
      <c r="I97" s="79">
        <v>0.2</v>
      </c>
      <c r="J97" s="61">
        <v>195.44000000000003</v>
      </c>
      <c r="K97" s="79">
        <f t="shared" si="1"/>
        <v>0.52377982223608321</v>
      </c>
      <c r="L97" s="68">
        <v>195.44000000000003</v>
      </c>
      <c r="M97" s="68">
        <v>195.44000000000003</v>
      </c>
      <c r="N97" s="68">
        <v>195.44000000000003</v>
      </c>
      <c r="O97" s="68">
        <v>195.44000000000003</v>
      </c>
      <c r="P97" s="68">
        <v>195.44000000000003</v>
      </c>
      <c r="Q97" s="68">
        <v>195.44000000000003</v>
      </c>
      <c r="R97" s="67" t="s">
        <v>187</v>
      </c>
      <c r="S97" s="67"/>
    </row>
    <row r="98" spans="1:19" s="62" customFormat="1" ht="120" customHeight="1" x14ac:dyDescent="0.25">
      <c r="A98" s="67"/>
      <c r="B98" s="59" t="s">
        <v>144</v>
      </c>
      <c r="C98" s="60">
        <v>45205</v>
      </c>
      <c r="D98" s="59" t="s">
        <v>159</v>
      </c>
      <c r="E98" s="59" t="s">
        <v>452</v>
      </c>
      <c r="F98" s="60" t="s">
        <v>158</v>
      </c>
      <c r="G98" s="60">
        <v>10</v>
      </c>
      <c r="H98" s="61">
        <v>122.14</v>
      </c>
      <c r="I98" s="79">
        <v>0.2</v>
      </c>
      <c r="J98" s="61">
        <v>186.11199999999999</v>
      </c>
      <c r="K98" s="79">
        <f t="shared" si="1"/>
        <v>0.52375962010807275</v>
      </c>
      <c r="L98" s="68">
        <v>186.11199999999999</v>
      </c>
      <c r="M98" s="68">
        <v>186.11199999999999</v>
      </c>
      <c r="N98" s="68">
        <v>186.11199999999999</v>
      </c>
      <c r="O98" s="68">
        <v>186.11199999999999</v>
      </c>
      <c r="P98" s="68">
        <v>186.11199999999999</v>
      </c>
      <c r="Q98" s="68">
        <v>186.11199999999999</v>
      </c>
      <c r="R98" s="67" t="s">
        <v>187</v>
      </c>
      <c r="S98" s="67"/>
    </row>
    <row r="99" spans="1:19" s="62" customFormat="1" ht="120" customHeight="1" x14ac:dyDescent="0.25">
      <c r="A99" s="67"/>
      <c r="B99" s="59" t="s">
        <v>145</v>
      </c>
      <c r="C99" s="60">
        <v>45208</v>
      </c>
      <c r="D99" s="59" t="s">
        <v>159</v>
      </c>
      <c r="E99" s="59" t="s">
        <v>452</v>
      </c>
      <c r="F99" s="60" t="s">
        <v>158</v>
      </c>
      <c r="G99" s="60">
        <v>10</v>
      </c>
      <c r="H99" s="61">
        <v>128.26</v>
      </c>
      <c r="I99" s="79">
        <v>0.2</v>
      </c>
      <c r="J99" s="61">
        <v>195.44000000000003</v>
      </c>
      <c r="K99" s="79">
        <f t="shared" si="1"/>
        <v>0.52377982223608321</v>
      </c>
      <c r="L99" s="68">
        <v>195.44000000000003</v>
      </c>
      <c r="M99" s="68">
        <v>195.44000000000003</v>
      </c>
      <c r="N99" s="68">
        <v>195.44000000000003</v>
      </c>
      <c r="O99" s="68">
        <v>195.44000000000003</v>
      </c>
      <c r="P99" s="68">
        <v>195.44000000000003</v>
      </c>
      <c r="Q99" s="68">
        <v>195.44000000000003</v>
      </c>
      <c r="R99" s="67" t="s">
        <v>303</v>
      </c>
      <c r="S99" s="67"/>
    </row>
    <row r="100" spans="1:19" s="62" customFormat="1" ht="120" customHeight="1" x14ac:dyDescent="0.25">
      <c r="A100" s="67"/>
      <c r="B100" s="59" t="s">
        <v>146</v>
      </c>
      <c r="C100" s="60">
        <v>45217</v>
      </c>
      <c r="D100" s="59" t="s">
        <v>159</v>
      </c>
      <c r="E100" s="59" t="s">
        <v>453</v>
      </c>
      <c r="F100" s="60" t="s">
        <v>158</v>
      </c>
      <c r="G100" s="60">
        <v>10</v>
      </c>
      <c r="H100" s="61">
        <v>134.35999999999999</v>
      </c>
      <c r="I100" s="79">
        <v>0.2</v>
      </c>
      <c r="J100" s="61">
        <v>204.73599999999999</v>
      </c>
      <c r="K100" s="79">
        <f t="shared" si="1"/>
        <v>0.52378684132182207</v>
      </c>
      <c r="L100" s="68">
        <v>204.73599999999999</v>
      </c>
      <c r="M100" s="68">
        <v>204.73599999999999</v>
      </c>
      <c r="N100" s="68">
        <v>204.73599999999999</v>
      </c>
      <c r="O100" s="68">
        <v>204.73599999999999</v>
      </c>
      <c r="P100" s="68">
        <v>204.73599999999999</v>
      </c>
      <c r="Q100" s="68">
        <v>204.73599999999999</v>
      </c>
      <c r="R100" s="67" t="s">
        <v>303</v>
      </c>
      <c r="S100" s="67"/>
    </row>
    <row r="101" spans="1:19" s="62" customFormat="1" ht="120" customHeight="1" x14ac:dyDescent="0.25">
      <c r="A101" s="67"/>
      <c r="B101" s="59" t="s">
        <v>147</v>
      </c>
      <c r="C101" s="60">
        <v>45221</v>
      </c>
      <c r="D101" s="59" t="s">
        <v>159</v>
      </c>
      <c r="E101" s="59" t="s">
        <v>452</v>
      </c>
      <c r="F101" s="60" t="s">
        <v>158</v>
      </c>
      <c r="G101" s="60">
        <v>10</v>
      </c>
      <c r="H101" s="61">
        <v>122.14</v>
      </c>
      <c r="I101" s="79">
        <v>0.2</v>
      </c>
      <c r="J101" s="61">
        <v>186.11199999999999</v>
      </c>
      <c r="K101" s="79">
        <f t="shared" si="1"/>
        <v>0.52375962010807275</v>
      </c>
      <c r="L101" s="68">
        <v>186.11199999999999</v>
      </c>
      <c r="M101" s="68">
        <v>186.11199999999999</v>
      </c>
      <c r="N101" s="68">
        <v>186.11199999999999</v>
      </c>
      <c r="O101" s="68">
        <v>186.11199999999999</v>
      </c>
      <c r="P101" s="68">
        <v>186.11199999999999</v>
      </c>
      <c r="Q101" s="68">
        <v>186.11199999999999</v>
      </c>
      <c r="R101" s="67" t="s">
        <v>187</v>
      </c>
      <c r="S101" s="67"/>
    </row>
    <row r="102" spans="1:19" s="62" customFormat="1" ht="120" customHeight="1" x14ac:dyDescent="0.25">
      <c r="A102" s="67"/>
      <c r="B102" s="59" t="s">
        <v>148</v>
      </c>
      <c r="C102" s="60">
        <v>45223</v>
      </c>
      <c r="D102" s="59" t="s">
        <v>159</v>
      </c>
      <c r="E102" s="59" t="s">
        <v>452</v>
      </c>
      <c r="F102" s="60" t="s">
        <v>158</v>
      </c>
      <c r="G102" s="60">
        <v>10</v>
      </c>
      <c r="H102" s="61">
        <v>152.69</v>
      </c>
      <c r="I102" s="79">
        <v>0.2</v>
      </c>
      <c r="J102" s="61">
        <v>232.65600000000001</v>
      </c>
      <c r="K102" s="79">
        <f t="shared" si="1"/>
        <v>0.52371471609142706</v>
      </c>
      <c r="L102" s="68">
        <v>232.65600000000001</v>
      </c>
      <c r="M102" s="68">
        <v>232.65600000000001</v>
      </c>
      <c r="N102" s="68">
        <v>232.65600000000001</v>
      </c>
      <c r="O102" s="68">
        <v>232.65600000000001</v>
      </c>
      <c r="P102" s="68">
        <v>232.65600000000001</v>
      </c>
      <c r="Q102" s="68">
        <v>232.65600000000001</v>
      </c>
      <c r="R102" s="67" t="s">
        <v>187</v>
      </c>
      <c r="S102" s="67"/>
    </row>
    <row r="103" spans="1:19" s="62" customFormat="1" ht="120" customHeight="1" x14ac:dyDescent="0.25">
      <c r="A103" s="67"/>
      <c r="B103" s="59" t="s">
        <v>149</v>
      </c>
      <c r="C103" s="60">
        <v>45282</v>
      </c>
      <c r="D103" s="59" t="s">
        <v>159</v>
      </c>
      <c r="E103" s="59" t="s">
        <v>453</v>
      </c>
      <c r="F103" s="60" t="s">
        <v>158</v>
      </c>
      <c r="G103" s="60">
        <v>10</v>
      </c>
      <c r="H103" s="61">
        <v>171.01</v>
      </c>
      <c r="I103" s="79">
        <v>0.2</v>
      </c>
      <c r="J103" s="61">
        <v>260.57600000000002</v>
      </c>
      <c r="K103" s="79">
        <f t="shared" si="1"/>
        <v>0.52374714928951538</v>
      </c>
      <c r="L103" s="68">
        <v>260.57600000000002</v>
      </c>
      <c r="M103" s="68">
        <v>260.57600000000002</v>
      </c>
      <c r="N103" s="68">
        <v>260.57600000000002</v>
      </c>
      <c r="O103" s="68">
        <v>260.57600000000002</v>
      </c>
      <c r="P103" s="68">
        <v>260.57600000000002</v>
      </c>
      <c r="Q103" s="68">
        <v>260.57600000000002</v>
      </c>
      <c r="R103" s="67" t="s">
        <v>303</v>
      </c>
      <c r="S103" s="67"/>
    </row>
    <row r="104" spans="1:19" s="62" customFormat="1" ht="120" customHeight="1" x14ac:dyDescent="0.25">
      <c r="A104" s="67"/>
      <c r="B104" s="59" t="s">
        <v>84</v>
      </c>
      <c r="C104" s="60">
        <v>63002</v>
      </c>
      <c r="D104" s="59" t="s">
        <v>159</v>
      </c>
      <c r="E104" s="59" t="s">
        <v>475</v>
      </c>
      <c r="F104" s="60" t="s">
        <v>158</v>
      </c>
      <c r="G104" s="60">
        <v>1</v>
      </c>
      <c r="H104" s="61">
        <v>197.63</v>
      </c>
      <c r="I104" s="79">
        <v>0.2</v>
      </c>
      <c r="J104" s="61">
        <v>296.43075000000005</v>
      </c>
      <c r="K104" s="79">
        <f t="shared" si="1"/>
        <v>0.4999278955624149</v>
      </c>
      <c r="L104" s="68">
        <v>296.43075000000005</v>
      </c>
      <c r="M104" s="68">
        <v>296.43075000000005</v>
      </c>
      <c r="N104" s="68">
        <v>296.43075000000005</v>
      </c>
      <c r="O104" s="68">
        <v>296.43075000000005</v>
      </c>
      <c r="P104" s="68">
        <v>296.43075000000005</v>
      </c>
      <c r="Q104" s="68">
        <v>296.43075000000005</v>
      </c>
      <c r="R104" s="67" t="s">
        <v>161</v>
      </c>
      <c r="S104" s="67"/>
    </row>
    <row r="105" spans="1:19" s="62" customFormat="1" ht="120" customHeight="1" x14ac:dyDescent="0.25">
      <c r="A105" s="67"/>
      <c r="B105" s="59" t="s">
        <v>85</v>
      </c>
      <c r="C105" s="60">
        <v>63004</v>
      </c>
      <c r="D105" s="59" t="s">
        <v>159</v>
      </c>
      <c r="E105" s="59" t="s">
        <v>476</v>
      </c>
      <c r="F105" s="60" t="s">
        <v>158</v>
      </c>
      <c r="G105" s="60">
        <v>1</v>
      </c>
      <c r="H105" s="61">
        <v>235.39999999999998</v>
      </c>
      <c r="I105" s="79">
        <v>0.2</v>
      </c>
      <c r="J105" s="61">
        <v>353.09925000000004</v>
      </c>
      <c r="K105" s="79">
        <f t="shared" si="1"/>
        <v>0.49999681393373008</v>
      </c>
      <c r="L105" s="68">
        <v>353.09925000000004</v>
      </c>
      <c r="M105" s="68">
        <v>353.09925000000004</v>
      </c>
      <c r="N105" s="68">
        <v>353.09925000000004</v>
      </c>
      <c r="O105" s="68">
        <v>353.09925000000004</v>
      </c>
      <c r="P105" s="68">
        <v>353.09925000000004</v>
      </c>
      <c r="Q105" s="68">
        <v>353.09925000000004</v>
      </c>
      <c r="R105" s="67" t="s">
        <v>161</v>
      </c>
      <c r="S105" s="67"/>
    </row>
    <row r="106" spans="1:19" s="62" customFormat="1" ht="120" customHeight="1" x14ac:dyDescent="0.25">
      <c r="A106" s="67"/>
      <c r="B106" s="59" t="s">
        <v>86</v>
      </c>
      <c r="C106" s="60">
        <v>63006</v>
      </c>
      <c r="D106" s="59" t="s">
        <v>159</v>
      </c>
      <c r="E106" s="59" t="s">
        <v>477</v>
      </c>
      <c r="F106" s="60" t="s">
        <v>158</v>
      </c>
      <c r="G106" s="60">
        <v>1</v>
      </c>
      <c r="H106" s="61">
        <v>364.71999999999997</v>
      </c>
      <c r="I106" s="79">
        <v>0.2</v>
      </c>
      <c r="J106" s="61">
        <v>547.07625000000007</v>
      </c>
      <c r="K106" s="79">
        <f t="shared" si="1"/>
        <v>0.49998971813994331</v>
      </c>
      <c r="L106" s="68">
        <v>547.07625000000007</v>
      </c>
      <c r="M106" s="68">
        <v>547.07625000000007</v>
      </c>
      <c r="N106" s="68">
        <v>547.07625000000007</v>
      </c>
      <c r="O106" s="68">
        <v>547.07625000000007</v>
      </c>
      <c r="P106" s="68">
        <v>547.07625000000007</v>
      </c>
      <c r="Q106" s="68">
        <v>547.07625000000007</v>
      </c>
      <c r="R106" s="67" t="s">
        <v>161</v>
      </c>
      <c r="S106" s="67"/>
    </row>
    <row r="107" spans="1:19" s="62" customFormat="1" ht="120" customHeight="1" x14ac:dyDescent="0.25">
      <c r="A107" s="67"/>
      <c r="B107" s="59" t="s">
        <v>87</v>
      </c>
      <c r="C107" s="60">
        <v>63008</v>
      </c>
      <c r="D107" s="59" t="s">
        <v>159</v>
      </c>
      <c r="E107" s="59" t="s">
        <v>479</v>
      </c>
      <c r="F107" s="60" t="s">
        <v>158</v>
      </c>
      <c r="G107" s="60">
        <v>1</v>
      </c>
      <c r="H107" s="61">
        <v>411.23</v>
      </c>
      <c r="I107" s="79">
        <v>0.2</v>
      </c>
      <c r="J107" s="61">
        <v>616.83299999999997</v>
      </c>
      <c r="K107" s="79">
        <f t="shared" si="1"/>
        <v>0.49997081924956821</v>
      </c>
      <c r="L107" s="68">
        <v>616.83299999999997</v>
      </c>
      <c r="M107" s="68">
        <v>616.83299999999997</v>
      </c>
      <c r="N107" s="68">
        <v>616.83299999999997</v>
      </c>
      <c r="O107" s="68">
        <v>616.83299999999997</v>
      </c>
      <c r="P107" s="68">
        <v>616.83299999999997</v>
      </c>
      <c r="Q107" s="68">
        <v>616.83299999999997</v>
      </c>
      <c r="R107" s="67" t="s">
        <v>161</v>
      </c>
      <c r="S107" s="67"/>
    </row>
    <row r="108" spans="1:19" s="62" customFormat="1" ht="120" customHeight="1" x14ac:dyDescent="0.25">
      <c r="A108" s="67"/>
      <c r="B108" s="59" t="s">
        <v>88</v>
      </c>
      <c r="C108" s="60">
        <v>63012</v>
      </c>
      <c r="D108" s="59" t="s">
        <v>159</v>
      </c>
      <c r="E108" s="59" t="s">
        <v>478</v>
      </c>
      <c r="F108" s="60" t="s">
        <v>158</v>
      </c>
      <c r="G108" s="60">
        <v>1</v>
      </c>
      <c r="H108" s="61">
        <v>585.59</v>
      </c>
      <c r="I108" s="79">
        <v>0.2</v>
      </c>
      <c r="J108" s="61">
        <v>878.37750000000005</v>
      </c>
      <c r="K108" s="79">
        <f t="shared" si="1"/>
        <v>0.49998719240424183</v>
      </c>
      <c r="L108" s="68">
        <v>878.37750000000005</v>
      </c>
      <c r="M108" s="68">
        <v>878.37750000000005</v>
      </c>
      <c r="N108" s="68">
        <v>878.37750000000005</v>
      </c>
      <c r="O108" s="68">
        <v>878.37750000000005</v>
      </c>
      <c r="P108" s="68">
        <v>878.37750000000005</v>
      </c>
      <c r="Q108" s="68">
        <v>878.37750000000005</v>
      </c>
      <c r="R108" s="67" t="s">
        <v>161</v>
      </c>
      <c r="S108" s="67"/>
    </row>
    <row r="109" spans="1:19" s="62" customFormat="1" ht="120" customHeight="1" x14ac:dyDescent="0.25">
      <c r="A109" s="67"/>
      <c r="B109" s="59" t="s">
        <v>89</v>
      </c>
      <c r="C109" s="60">
        <v>63016</v>
      </c>
      <c r="D109" s="59" t="s">
        <v>159</v>
      </c>
      <c r="E109" s="59" t="s">
        <v>480</v>
      </c>
      <c r="F109" s="60" t="s">
        <v>158</v>
      </c>
      <c r="G109" s="60">
        <v>1</v>
      </c>
      <c r="H109" s="61">
        <v>730.89</v>
      </c>
      <c r="I109" s="79">
        <v>0.2</v>
      </c>
      <c r="J109" s="61">
        <v>1096.3260000000002</v>
      </c>
      <c r="K109" s="79">
        <f t="shared" si="1"/>
        <v>0.49998768624553658</v>
      </c>
      <c r="L109" s="68">
        <v>1096.3260000000002</v>
      </c>
      <c r="M109" s="68">
        <v>1096.3260000000002</v>
      </c>
      <c r="N109" s="68">
        <v>1096.3260000000002</v>
      </c>
      <c r="O109" s="68">
        <v>1096.3260000000002</v>
      </c>
      <c r="P109" s="68">
        <v>1096.3260000000002</v>
      </c>
      <c r="Q109" s="68">
        <v>1096.3260000000002</v>
      </c>
      <c r="R109" s="67" t="s">
        <v>161</v>
      </c>
      <c r="S109" s="67"/>
    </row>
    <row r="110" spans="1:19" s="62" customFormat="1" ht="120" customHeight="1" x14ac:dyDescent="0.25">
      <c r="A110" s="67"/>
      <c r="B110" s="59" t="s">
        <v>90</v>
      </c>
      <c r="C110" s="60">
        <v>63024</v>
      </c>
      <c r="D110" s="59" t="s">
        <v>159</v>
      </c>
      <c r="E110" s="59" t="s">
        <v>481</v>
      </c>
      <c r="F110" s="60" t="s">
        <v>158</v>
      </c>
      <c r="G110" s="60">
        <v>1</v>
      </c>
      <c r="H110" s="61">
        <v>1201.69</v>
      </c>
      <c r="I110" s="79">
        <v>0.2</v>
      </c>
      <c r="J110" s="61">
        <v>1802.5245</v>
      </c>
      <c r="K110" s="79">
        <f t="shared" si="1"/>
        <v>0.49999126230558621</v>
      </c>
      <c r="L110" s="68">
        <v>1802.5245</v>
      </c>
      <c r="M110" s="68">
        <v>1802.5245</v>
      </c>
      <c r="N110" s="68">
        <v>1802.5245</v>
      </c>
      <c r="O110" s="68">
        <v>1802.5245</v>
      </c>
      <c r="P110" s="68">
        <v>1802.5245</v>
      </c>
      <c r="Q110" s="68">
        <v>1802.5245</v>
      </c>
      <c r="R110" s="67" t="s">
        <v>161</v>
      </c>
      <c r="S110" s="67"/>
    </row>
    <row r="111" spans="1:19" s="62" customFormat="1" ht="120" customHeight="1" x14ac:dyDescent="0.25">
      <c r="A111" s="67"/>
      <c r="B111" s="59" t="s">
        <v>91</v>
      </c>
      <c r="C111" s="60">
        <v>63036</v>
      </c>
      <c r="D111" s="59" t="s">
        <v>159</v>
      </c>
      <c r="E111" s="59" t="s">
        <v>482</v>
      </c>
      <c r="F111" s="60" t="s">
        <v>158</v>
      </c>
      <c r="G111" s="60">
        <v>1</v>
      </c>
      <c r="H111" s="61">
        <v>1646.32</v>
      </c>
      <c r="I111" s="79">
        <v>0.2</v>
      </c>
      <c r="J111" s="61">
        <v>2469.4740000000002</v>
      </c>
      <c r="K111" s="79">
        <f t="shared" si="1"/>
        <v>0.49999635550804244</v>
      </c>
      <c r="L111" s="68">
        <v>2469.4740000000002</v>
      </c>
      <c r="M111" s="68">
        <v>2469.4740000000002</v>
      </c>
      <c r="N111" s="68">
        <v>2469.4740000000002</v>
      </c>
      <c r="O111" s="68">
        <v>2469.4740000000002</v>
      </c>
      <c r="P111" s="68">
        <v>2469.4740000000002</v>
      </c>
      <c r="Q111" s="68">
        <v>2469.4740000000002</v>
      </c>
      <c r="R111" s="67" t="s">
        <v>161</v>
      </c>
      <c r="S111" s="67"/>
    </row>
    <row r="112" spans="1:19" s="62" customFormat="1" ht="120" customHeight="1" x14ac:dyDescent="0.25">
      <c r="A112" s="67"/>
      <c r="B112" s="59" t="s">
        <v>76</v>
      </c>
      <c r="C112" s="60">
        <v>63102</v>
      </c>
      <c r="D112" s="59" t="s">
        <v>159</v>
      </c>
      <c r="E112" s="59" t="s">
        <v>475</v>
      </c>
      <c r="F112" s="60" t="s">
        <v>158</v>
      </c>
      <c r="G112" s="60">
        <v>1</v>
      </c>
      <c r="H112" s="61">
        <v>203.42999999999998</v>
      </c>
      <c r="I112" s="79">
        <v>0.2</v>
      </c>
      <c r="J112" s="61">
        <v>305.14050000000003</v>
      </c>
      <c r="K112" s="79">
        <f t="shared" si="1"/>
        <v>0.49997787936882498</v>
      </c>
      <c r="L112" s="68">
        <v>305.14050000000003</v>
      </c>
      <c r="M112" s="68">
        <v>305.14050000000003</v>
      </c>
      <c r="N112" s="68">
        <v>305.14050000000003</v>
      </c>
      <c r="O112" s="68">
        <v>305.14050000000003</v>
      </c>
      <c r="P112" s="68">
        <v>305.14050000000003</v>
      </c>
      <c r="Q112" s="68">
        <v>305.14050000000003</v>
      </c>
      <c r="R112" s="67" t="s">
        <v>161</v>
      </c>
      <c r="S112" s="67"/>
    </row>
    <row r="113" spans="1:19" s="62" customFormat="1" ht="120" customHeight="1" x14ac:dyDescent="0.25">
      <c r="A113" s="67"/>
      <c r="B113" s="59" t="s">
        <v>77</v>
      </c>
      <c r="C113" s="60">
        <v>63104</v>
      </c>
      <c r="D113" s="59" t="s">
        <v>159</v>
      </c>
      <c r="E113" s="59" t="s">
        <v>476</v>
      </c>
      <c r="F113" s="60" t="s">
        <v>158</v>
      </c>
      <c r="G113" s="60">
        <v>1</v>
      </c>
      <c r="H113" s="61">
        <v>245.57</v>
      </c>
      <c r="I113" s="79">
        <v>0.2</v>
      </c>
      <c r="J113" s="61">
        <v>368.34525000000002</v>
      </c>
      <c r="K113" s="79">
        <f t="shared" si="1"/>
        <v>0.49996029645314999</v>
      </c>
      <c r="L113" s="68">
        <v>368.34525000000002</v>
      </c>
      <c r="M113" s="68">
        <v>368.34525000000002</v>
      </c>
      <c r="N113" s="68">
        <v>368.34525000000002</v>
      </c>
      <c r="O113" s="68">
        <v>368.34525000000002</v>
      </c>
      <c r="P113" s="68">
        <v>368.34525000000002</v>
      </c>
      <c r="Q113" s="68">
        <v>368.34525000000002</v>
      </c>
      <c r="R113" s="67" t="s">
        <v>161</v>
      </c>
      <c r="S113" s="67"/>
    </row>
    <row r="114" spans="1:19" s="62" customFormat="1" ht="120" customHeight="1" x14ac:dyDescent="0.25">
      <c r="A114" s="67"/>
      <c r="B114" s="59" t="s">
        <v>78</v>
      </c>
      <c r="C114" s="60">
        <v>63106</v>
      </c>
      <c r="D114" s="59" t="s">
        <v>159</v>
      </c>
      <c r="E114" s="59" t="s">
        <v>477</v>
      </c>
      <c r="F114" s="60" t="s">
        <v>158</v>
      </c>
      <c r="G114" s="60">
        <v>1</v>
      </c>
      <c r="H114" s="61">
        <v>370.53999999999996</v>
      </c>
      <c r="I114" s="79">
        <v>0.2</v>
      </c>
      <c r="J114" s="61">
        <v>555.80174999999997</v>
      </c>
      <c r="K114" s="79">
        <f t="shared" si="1"/>
        <v>0.49997773519727962</v>
      </c>
      <c r="L114" s="68">
        <v>555.80174999999997</v>
      </c>
      <c r="M114" s="68">
        <v>555.80174999999997</v>
      </c>
      <c r="N114" s="68">
        <v>555.80174999999997</v>
      </c>
      <c r="O114" s="68">
        <v>555.80174999999997</v>
      </c>
      <c r="P114" s="68">
        <v>555.80174999999997</v>
      </c>
      <c r="Q114" s="68">
        <v>555.80174999999997</v>
      </c>
      <c r="R114" s="67" t="s">
        <v>161</v>
      </c>
      <c r="S114" s="67"/>
    </row>
    <row r="115" spans="1:19" s="62" customFormat="1" ht="120" customHeight="1" x14ac:dyDescent="0.25">
      <c r="A115" s="67"/>
      <c r="B115" s="59" t="s">
        <v>79</v>
      </c>
      <c r="C115" s="60">
        <v>63108</v>
      </c>
      <c r="D115" s="59" t="s">
        <v>159</v>
      </c>
      <c r="E115" s="59" t="s">
        <v>479</v>
      </c>
      <c r="F115" s="60" t="s">
        <v>158</v>
      </c>
      <c r="G115" s="60">
        <v>1</v>
      </c>
      <c r="H115" s="61">
        <v>421.39</v>
      </c>
      <c r="I115" s="79">
        <v>0.2</v>
      </c>
      <c r="J115" s="61">
        <v>632.07900000000006</v>
      </c>
      <c r="K115" s="79">
        <f t="shared" si="1"/>
        <v>0.49998576140867157</v>
      </c>
      <c r="L115" s="68">
        <v>632.07900000000006</v>
      </c>
      <c r="M115" s="68">
        <v>632.07900000000006</v>
      </c>
      <c r="N115" s="68">
        <v>632.07900000000006</v>
      </c>
      <c r="O115" s="68">
        <v>632.07900000000006</v>
      </c>
      <c r="P115" s="68">
        <v>632.07900000000006</v>
      </c>
      <c r="Q115" s="68">
        <v>632.07900000000006</v>
      </c>
      <c r="R115" s="67" t="s">
        <v>161</v>
      </c>
      <c r="S115" s="67"/>
    </row>
    <row r="116" spans="1:19" s="62" customFormat="1" ht="120" customHeight="1" x14ac:dyDescent="0.25">
      <c r="A116" s="67"/>
      <c r="B116" s="59" t="s">
        <v>80</v>
      </c>
      <c r="C116" s="60">
        <v>63112</v>
      </c>
      <c r="D116" s="59" t="s">
        <v>159</v>
      </c>
      <c r="E116" s="59" t="s">
        <v>478</v>
      </c>
      <c r="F116" s="60" t="s">
        <v>158</v>
      </c>
      <c r="G116" s="60">
        <v>1</v>
      </c>
      <c r="H116" s="61">
        <v>591.41</v>
      </c>
      <c r="I116" s="79">
        <v>0.2</v>
      </c>
      <c r="J116" s="61">
        <v>887.10300000000007</v>
      </c>
      <c r="K116" s="79">
        <f t="shared" si="1"/>
        <v>0.4999797095077867</v>
      </c>
      <c r="L116" s="68">
        <v>887.10300000000007</v>
      </c>
      <c r="M116" s="68">
        <v>887.10300000000007</v>
      </c>
      <c r="N116" s="68">
        <v>887.10300000000007</v>
      </c>
      <c r="O116" s="68">
        <v>887.10300000000007</v>
      </c>
      <c r="P116" s="68">
        <v>887.10300000000007</v>
      </c>
      <c r="Q116" s="68">
        <v>887.10300000000007</v>
      </c>
      <c r="R116" s="67" t="s">
        <v>161</v>
      </c>
      <c r="S116" s="67"/>
    </row>
    <row r="117" spans="1:19" s="62" customFormat="1" ht="120" customHeight="1" x14ac:dyDescent="0.25">
      <c r="A117" s="67"/>
      <c r="B117" s="59" t="s">
        <v>81</v>
      </c>
      <c r="C117" s="60">
        <v>63116</v>
      </c>
      <c r="D117" s="59" t="s">
        <v>159</v>
      </c>
      <c r="E117" s="59" t="s">
        <v>480</v>
      </c>
      <c r="F117" s="60" t="s">
        <v>158</v>
      </c>
      <c r="G117" s="60">
        <v>1</v>
      </c>
      <c r="H117" s="61">
        <v>768.68</v>
      </c>
      <c r="I117" s="79">
        <v>0.2</v>
      </c>
      <c r="J117" s="61">
        <v>1153.0102500000003</v>
      </c>
      <c r="K117" s="79">
        <f t="shared" si="1"/>
        <v>0.49998731591819778</v>
      </c>
      <c r="L117" s="68">
        <v>1153.0102500000003</v>
      </c>
      <c r="M117" s="68">
        <v>1153.0102500000003</v>
      </c>
      <c r="N117" s="68">
        <v>1153.0102500000003</v>
      </c>
      <c r="O117" s="68">
        <v>1153.0102500000003</v>
      </c>
      <c r="P117" s="68">
        <v>1153.0102500000003</v>
      </c>
      <c r="Q117" s="68">
        <v>1153.0102500000003</v>
      </c>
      <c r="R117" s="67" t="s">
        <v>161</v>
      </c>
      <c r="S117" s="67"/>
    </row>
    <row r="118" spans="1:19" s="62" customFormat="1" ht="120" customHeight="1" x14ac:dyDescent="0.25">
      <c r="A118" s="67"/>
      <c r="B118" s="59" t="s">
        <v>82</v>
      </c>
      <c r="C118" s="60">
        <v>63124</v>
      </c>
      <c r="D118" s="59" t="s">
        <v>159</v>
      </c>
      <c r="E118" s="59" t="s">
        <v>481</v>
      </c>
      <c r="F118" s="60" t="s">
        <v>158</v>
      </c>
      <c r="G118" s="60">
        <v>1</v>
      </c>
      <c r="H118" s="61">
        <v>1232.2</v>
      </c>
      <c r="I118" s="79">
        <v>0.2</v>
      </c>
      <c r="J118" s="61">
        <v>1848.2940000000003</v>
      </c>
      <c r="K118" s="79">
        <f t="shared" si="1"/>
        <v>0.49999513066060719</v>
      </c>
      <c r="L118" s="68">
        <v>1848.2940000000003</v>
      </c>
      <c r="M118" s="68">
        <v>1848.2940000000003</v>
      </c>
      <c r="N118" s="68">
        <v>1848.2940000000003</v>
      </c>
      <c r="O118" s="68">
        <v>1848.2940000000003</v>
      </c>
      <c r="P118" s="68">
        <v>1848.2940000000003</v>
      </c>
      <c r="Q118" s="68">
        <v>1848.2940000000003</v>
      </c>
      <c r="R118" s="67" t="s">
        <v>161</v>
      </c>
      <c r="S118" s="67"/>
    </row>
    <row r="119" spans="1:19" s="62" customFormat="1" ht="120" customHeight="1" x14ac:dyDescent="0.25">
      <c r="A119" s="67"/>
      <c r="B119" s="59" t="s">
        <v>83</v>
      </c>
      <c r="C119" s="60">
        <v>63136</v>
      </c>
      <c r="D119" s="59" t="s">
        <v>159</v>
      </c>
      <c r="E119" s="59" t="s">
        <v>482</v>
      </c>
      <c r="F119" s="60" t="s">
        <v>158</v>
      </c>
      <c r="G119" s="60">
        <v>1</v>
      </c>
      <c r="H119" s="61">
        <v>1688.47</v>
      </c>
      <c r="I119" s="79">
        <v>0.2</v>
      </c>
      <c r="J119" s="61">
        <v>2532.6945000000001</v>
      </c>
      <c r="K119" s="79">
        <f t="shared" si="1"/>
        <v>0.49999378135234851</v>
      </c>
      <c r="L119" s="68">
        <v>2532.6945000000001</v>
      </c>
      <c r="M119" s="68">
        <v>2532.6945000000001</v>
      </c>
      <c r="N119" s="68">
        <v>2532.6945000000001</v>
      </c>
      <c r="O119" s="68">
        <v>2532.6945000000001</v>
      </c>
      <c r="P119" s="68">
        <v>2532.6945000000001</v>
      </c>
      <c r="Q119" s="68">
        <v>2532.6945000000001</v>
      </c>
      <c r="R119" s="67" t="s">
        <v>161</v>
      </c>
      <c r="S119" s="67"/>
    </row>
    <row r="120" spans="1:19" s="62" customFormat="1" ht="120" customHeight="1" x14ac:dyDescent="0.25">
      <c r="A120" s="69"/>
      <c r="B120" s="69" t="s">
        <v>179</v>
      </c>
      <c r="C120" s="60">
        <v>36064099</v>
      </c>
      <c r="D120" s="69" t="s">
        <v>159</v>
      </c>
      <c r="E120" s="69" t="s">
        <v>454</v>
      </c>
      <c r="F120" s="70" t="s">
        <v>158</v>
      </c>
      <c r="G120" s="70">
        <v>12</v>
      </c>
      <c r="H120" s="61">
        <v>245.81</v>
      </c>
      <c r="I120" s="79">
        <v>0.2</v>
      </c>
      <c r="J120" s="61">
        <v>374.56</v>
      </c>
      <c r="K120" s="79">
        <f t="shared" si="1"/>
        <v>0.52377852813148373</v>
      </c>
      <c r="L120" s="68">
        <v>374.56</v>
      </c>
      <c r="M120" s="68">
        <v>374.56</v>
      </c>
      <c r="N120" s="68">
        <v>374.56</v>
      </c>
      <c r="O120" s="68">
        <v>374.56</v>
      </c>
      <c r="P120" s="68">
        <v>374.56</v>
      </c>
      <c r="Q120" s="68">
        <v>374.56</v>
      </c>
      <c r="R120" s="69" t="s">
        <v>303</v>
      </c>
      <c r="S120" s="69"/>
    </row>
    <row r="121" spans="1:19" s="62" customFormat="1" ht="120" customHeight="1" x14ac:dyDescent="0.25">
      <c r="A121" s="69"/>
      <c r="B121" s="69" t="s">
        <v>180</v>
      </c>
      <c r="C121" s="60">
        <v>36064101</v>
      </c>
      <c r="D121" s="69" t="s">
        <v>159</v>
      </c>
      <c r="E121" s="69" t="s">
        <v>454</v>
      </c>
      <c r="F121" s="70" t="s">
        <v>158</v>
      </c>
      <c r="G121" s="70">
        <v>12</v>
      </c>
      <c r="H121" s="61">
        <v>183.22</v>
      </c>
      <c r="I121" s="79">
        <v>0.2</v>
      </c>
      <c r="J121" s="61">
        <v>279.18400000000003</v>
      </c>
      <c r="K121" s="79">
        <f t="shared" si="1"/>
        <v>0.52376378124658896</v>
      </c>
      <c r="L121" s="68">
        <v>279.18400000000003</v>
      </c>
      <c r="M121" s="68">
        <v>279.18400000000003</v>
      </c>
      <c r="N121" s="68">
        <v>279.18400000000003</v>
      </c>
      <c r="O121" s="68">
        <v>279.18400000000003</v>
      </c>
      <c r="P121" s="68">
        <v>279.18400000000003</v>
      </c>
      <c r="Q121" s="68">
        <v>279.18400000000003</v>
      </c>
      <c r="R121" s="69" t="s">
        <v>187</v>
      </c>
      <c r="S121" s="69"/>
    </row>
    <row r="122" spans="1:19" s="62" customFormat="1" ht="120" customHeight="1" x14ac:dyDescent="0.25">
      <c r="A122" s="69"/>
      <c r="B122" s="69" t="s">
        <v>181</v>
      </c>
      <c r="C122" s="60">
        <v>36064103</v>
      </c>
      <c r="D122" s="69" t="s">
        <v>159</v>
      </c>
      <c r="E122" s="69" t="s">
        <v>454</v>
      </c>
      <c r="F122" s="70" t="s">
        <v>158</v>
      </c>
      <c r="G122" s="70">
        <v>12</v>
      </c>
      <c r="H122" s="61">
        <v>230.54</v>
      </c>
      <c r="I122" s="79">
        <v>0.2</v>
      </c>
      <c r="J122" s="61">
        <v>351.29600000000005</v>
      </c>
      <c r="K122" s="79">
        <f t="shared" si="1"/>
        <v>0.52379630432896707</v>
      </c>
      <c r="L122" s="68">
        <v>351.29600000000005</v>
      </c>
      <c r="M122" s="68">
        <v>351.29600000000005</v>
      </c>
      <c r="N122" s="68">
        <v>351.29600000000005</v>
      </c>
      <c r="O122" s="68">
        <v>351.29600000000005</v>
      </c>
      <c r="P122" s="68">
        <v>351.29600000000005</v>
      </c>
      <c r="Q122" s="68">
        <v>351.29600000000005</v>
      </c>
      <c r="R122" s="69" t="s">
        <v>187</v>
      </c>
      <c r="S122" s="69"/>
    </row>
    <row r="123" spans="1:19" s="62" customFormat="1" ht="120" customHeight="1" x14ac:dyDescent="0.25">
      <c r="A123" s="69"/>
      <c r="B123" s="69" t="s">
        <v>182</v>
      </c>
      <c r="C123" s="60">
        <v>36064105</v>
      </c>
      <c r="D123" s="69" t="s">
        <v>159</v>
      </c>
      <c r="E123" s="69" t="s">
        <v>454</v>
      </c>
      <c r="F123" s="70" t="s">
        <v>158</v>
      </c>
      <c r="G123" s="70">
        <v>12</v>
      </c>
      <c r="H123" s="61">
        <v>212.23</v>
      </c>
      <c r="I123" s="79">
        <v>0.2</v>
      </c>
      <c r="J123" s="61">
        <v>323.39200000000005</v>
      </c>
      <c r="K123" s="79">
        <f t="shared" si="1"/>
        <v>0.52378080384488568</v>
      </c>
      <c r="L123" s="68">
        <v>323.39200000000005</v>
      </c>
      <c r="M123" s="68">
        <v>323.39200000000005</v>
      </c>
      <c r="N123" s="68">
        <v>323.39200000000005</v>
      </c>
      <c r="O123" s="68">
        <v>323.39200000000005</v>
      </c>
      <c r="P123" s="68">
        <v>323.39200000000005</v>
      </c>
      <c r="Q123" s="68">
        <v>323.39200000000005</v>
      </c>
      <c r="R123" s="69" t="s">
        <v>187</v>
      </c>
      <c r="S123" s="69"/>
    </row>
    <row r="124" spans="1:19" s="62" customFormat="1" ht="120" customHeight="1" x14ac:dyDescent="0.25">
      <c r="A124" s="69"/>
      <c r="B124" s="69" t="s">
        <v>183</v>
      </c>
      <c r="C124" s="60">
        <v>36064201</v>
      </c>
      <c r="D124" s="69" t="s">
        <v>159</v>
      </c>
      <c r="E124" s="69" t="s">
        <v>455</v>
      </c>
      <c r="F124" s="70" t="s">
        <v>158</v>
      </c>
      <c r="G124" s="70">
        <v>12</v>
      </c>
      <c r="H124" s="61">
        <v>490.09</v>
      </c>
      <c r="I124" s="79">
        <v>0.2</v>
      </c>
      <c r="J124" s="61">
        <v>746.80000000000007</v>
      </c>
      <c r="K124" s="79">
        <f t="shared" si="1"/>
        <v>0.52380175069885149</v>
      </c>
      <c r="L124" s="68">
        <v>746.80000000000007</v>
      </c>
      <c r="M124" s="68">
        <v>746.80000000000007</v>
      </c>
      <c r="N124" s="68">
        <v>746.80000000000007</v>
      </c>
      <c r="O124" s="68">
        <v>746.80000000000007</v>
      </c>
      <c r="P124" s="68">
        <v>746.80000000000007</v>
      </c>
      <c r="Q124" s="68">
        <v>746.80000000000007</v>
      </c>
      <c r="R124" s="69" t="s">
        <v>303</v>
      </c>
      <c r="S124" s="69"/>
    </row>
    <row r="125" spans="1:19" s="62" customFormat="1" ht="120" customHeight="1" x14ac:dyDescent="0.25">
      <c r="A125" s="69"/>
      <c r="B125" s="69" t="s">
        <v>184</v>
      </c>
      <c r="C125" s="60">
        <v>36064206</v>
      </c>
      <c r="D125" s="69" t="s">
        <v>159</v>
      </c>
      <c r="E125" s="69" t="s">
        <v>455</v>
      </c>
      <c r="F125" s="70" t="s">
        <v>158</v>
      </c>
      <c r="G125" s="70">
        <v>6</v>
      </c>
      <c r="H125" s="61">
        <v>490.09</v>
      </c>
      <c r="I125" s="79">
        <v>0.2</v>
      </c>
      <c r="J125" s="61">
        <v>746.80000000000007</v>
      </c>
      <c r="K125" s="79">
        <f t="shared" si="1"/>
        <v>0.52380175069885149</v>
      </c>
      <c r="L125" s="68">
        <v>746.80000000000007</v>
      </c>
      <c r="M125" s="68">
        <v>746.80000000000007</v>
      </c>
      <c r="N125" s="68">
        <v>746.80000000000007</v>
      </c>
      <c r="O125" s="68">
        <v>746.80000000000007</v>
      </c>
      <c r="P125" s="68">
        <v>746.80000000000007</v>
      </c>
      <c r="Q125" s="68">
        <v>746.80000000000007</v>
      </c>
      <c r="R125" s="69" t="s">
        <v>303</v>
      </c>
      <c r="S125" s="69"/>
    </row>
    <row r="126" spans="1:19" s="62" customFormat="1" ht="120" customHeight="1" x14ac:dyDescent="0.25">
      <c r="A126" s="69"/>
      <c r="B126" s="69" t="s">
        <v>185</v>
      </c>
      <c r="C126" s="60">
        <v>36064207</v>
      </c>
      <c r="D126" s="69" t="s">
        <v>159</v>
      </c>
      <c r="E126" s="69" t="s">
        <v>455</v>
      </c>
      <c r="F126" s="70" t="s">
        <v>158</v>
      </c>
      <c r="G126" s="70">
        <v>6</v>
      </c>
      <c r="H126" s="61">
        <v>427.5</v>
      </c>
      <c r="I126" s="79">
        <v>0.2</v>
      </c>
      <c r="J126" s="61">
        <v>651.42399999999998</v>
      </c>
      <c r="K126" s="79">
        <f t="shared" si="1"/>
        <v>0.5237988304093566</v>
      </c>
      <c r="L126" s="68">
        <v>651.42399999999998</v>
      </c>
      <c r="M126" s="68">
        <v>651.42399999999998</v>
      </c>
      <c r="N126" s="68">
        <v>651.42399999999998</v>
      </c>
      <c r="O126" s="68">
        <v>651.42399999999998</v>
      </c>
      <c r="P126" s="68">
        <v>651.42399999999998</v>
      </c>
      <c r="Q126" s="68">
        <v>651.42399999999998</v>
      </c>
      <c r="R126" s="69" t="s">
        <v>303</v>
      </c>
      <c r="S126" s="69"/>
    </row>
    <row r="127" spans="1:19" s="62" customFormat="1" ht="120" customHeight="1" x14ac:dyDescent="0.25">
      <c r="A127" s="69"/>
      <c r="B127" s="69" t="s">
        <v>186</v>
      </c>
      <c r="C127" s="60">
        <v>36064208</v>
      </c>
      <c r="D127" s="69" t="s">
        <v>159</v>
      </c>
      <c r="E127" s="69" t="s">
        <v>455</v>
      </c>
      <c r="F127" s="70" t="s">
        <v>158</v>
      </c>
      <c r="G127" s="70">
        <v>6</v>
      </c>
      <c r="H127" s="61">
        <v>476.36</v>
      </c>
      <c r="I127" s="79">
        <v>0.2</v>
      </c>
      <c r="J127" s="61">
        <v>725.87200000000007</v>
      </c>
      <c r="K127" s="79">
        <f t="shared" si="1"/>
        <v>0.52378873121168867</v>
      </c>
      <c r="L127" s="68">
        <v>725.87200000000007</v>
      </c>
      <c r="M127" s="68">
        <v>725.87200000000007</v>
      </c>
      <c r="N127" s="68">
        <v>725.87200000000007</v>
      </c>
      <c r="O127" s="68">
        <v>725.87200000000007</v>
      </c>
      <c r="P127" s="68">
        <v>725.87200000000007</v>
      </c>
      <c r="Q127" s="68">
        <v>725.87200000000007</v>
      </c>
      <c r="R127" s="69" t="s">
        <v>303</v>
      </c>
      <c r="S127" s="69"/>
    </row>
    <row r="128" spans="1:19" s="62" customFormat="1" ht="120" customHeight="1" x14ac:dyDescent="0.25">
      <c r="A128" s="67"/>
      <c r="B128" s="59" t="s">
        <v>492</v>
      </c>
      <c r="C128" s="60">
        <v>42001001</v>
      </c>
      <c r="D128" s="59" t="s">
        <v>159</v>
      </c>
      <c r="E128" s="59" t="s">
        <v>447</v>
      </c>
      <c r="F128" s="60" t="s">
        <v>158</v>
      </c>
      <c r="G128" s="60">
        <v>12</v>
      </c>
      <c r="H128" s="61">
        <v>128.26</v>
      </c>
      <c r="I128" s="79">
        <v>0.2</v>
      </c>
      <c r="J128" s="61">
        <v>195.44000000000003</v>
      </c>
      <c r="K128" s="79">
        <f t="shared" si="1"/>
        <v>0.52377982223608321</v>
      </c>
      <c r="L128" s="68">
        <v>195.44000000000003</v>
      </c>
      <c r="M128" s="68">
        <v>195.44000000000003</v>
      </c>
      <c r="N128" s="68">
        <v>195.44000000000003</v>
      </c>
      <c r="O128" s="68">
        <v>195.44000000000003</v>
      </c>
      <c r="P128" s="68">
        <v>195.44000000000003</v>
      </c>
      <c r="Q128" s="68">
        <v>195.44000000000003</v>
      </c>
      <c r="R128" s="67" t="s">
        <v>187</v>
      </c>
      <c r="S128" s="67"/>
    </row>
    <row r="129" spans="1:19" s="62" customFormat="1" ht="120" customHeight="1" x14ac:dyDescent="0.25">
      <c r="A129" s="67"/>
      <c r="B129" s="59" t="s">
        <v>513</v>
      </c>
      <c r="C129" s="60">
        <v>42001002</v>
      </c>
      <c r="D129" s="59" t="s">
        <v>159</v>
      </c>
      <c r="E129" s="59" t="s">
        <v>447</v>
      </c>
      <c r="F129" s="60" t="s">
        <v>158</v>
      </c>
      <c r="G129" s="60">
        <v>12</v>
      </c>
      <c r="H129" s="61">
        <v>129.78</v>
      </c>
      <c r="I129" s="79">
        <v>0.2</v>
      </c>
      <c r="J129" s="61">
        <v>197.76</v>
      </c>
      <c r="K129" s="79">
        <f t="shared" si="1"/>
        <v>0.52380952380952372</v>
      </c>
      <c r="L129" s="68">
        <v>197.76</v>
      </c>
      <c r="M129" s="68">
        <v>197.76</v>
      </c>
      <c r="N129" s="68">
        <v>197.76</v>
      </c>
      <c r="O129" s="68">
        <v>197.76</v>
      </c>
      <c r="P129" s="68">
        <v>197.76</v>
      </c>
      <c r="Q129" s="68">
        <v>197.76</v>
      </c>
      <c r="R129" s="67" t="s">
        <v>303</v>
      </c>
      <c r="S129" s="67"/>
    </row>
    <row r="130" spans="1:19" s="62" customFormat="1" ht="120" customHeight="1" x14ac:dyDescent="0.25">
      <c r="A130" s="67"/>
      <c r="B130" s="59" t="s">
        <v>493</v>
      </c>
      <c r="C130" s="60">
        <v>42001003</v>
      </c>
      <c r="D130" s="59" t="s">
        <v>159</v>
      </c>
      <c r="E130" s="59" t="s">
        <v>447</v>
      </c>
      <c r="F130" s="60" t="s">
        <v>158</v>
      </c>
      <c r="G130" s="60">
        <v>12</v>
      </c>
      <c r="H130" s="61">
        <v>154.20999999999998</v>
      </c>
      <c r="I130" s="79">
        <v>0.2</v>
      </c>
      <c r="J130" s="61">
        <v>234.97600000000003</v>
      </c>
      <c r="K130" s="79">
        <f t="shared" si="1"/>
        <v>0.52374035406264219</v>
      </c>
      <c r="L130" s="68">
        <v>234.97600000000003</v>
      </c>
      <c r="M130" s="68">
        <v>234.97600000000003</v>
      </c>
      <c r="N130" s="68">
        <v>234.97600000000003</v>
      </c>
      <c r="O130" s="68">
        <v>234.97600000000003</v>
      </c>
      <c r="P130" s="68">
        <v>234.97600000000003</v>
      </c>
      <c r="Q130" s="68">
        <v>234.97600000000003</v>
      </c>
      <c r="R130" s="67" t="s">
        <v>187</v>
      </c>
      <c r="S130" s="67"/>
    </row>
    <row r="131" spans="1:19" s="62" customFormat="1" ht="120" customHeight="1" x14ac:dyDescent="0.25">
      <c r="A131" s="67"/>
      <c r="B131" s="59" t="s">
        <v>494</v>
      </c>
      <c r="C131" s="60">
        <v>42001005</v>
      </c>
      <c r="D131" s="59" t="s">
        <v>159</v>
      </c>
      <c r="E131" s="59" t="s">
        <v>447</v>
      </c>
      <c r="F131" s="60" t="s">
        <v>158</v>
      </c>
      <c r="G131" s="60">
        <v>12</v>
      </c>
      <c r="H131" s="61">
        <v>155.73999999999998</v>
      </c>
      <c r="I131" s="79">
        <v>0.2</v>
      </c>
      <c r="J131" s="61">
        <v>237.31200000000001</v>
      </c>
      <c r="K131" s="79">
        <f t="shared" si="1"/>
        <v>0.52377038654167229</v>
      </c>
      <c r="L131" s="68">
        <v>237.31200000000001</v>
      </c>
      <c r="M131" s="68">
        <v>237.31200000000001</v>
      </c>
      <c r="N131" s="68">
        <v>237.31200000000001</v>
      </c>
      <c r="O131" s="68">
        <v>237.31200000000001</v>
      </c>
      <c r="P131" s="68">
        <v>237.31200000000001</v>
      </c>
      <c r="Q131" s="68">
        <v>237.31200000000001</v>
      </c>
      <c r="R131" s="67" t="s">
        <v>187</v>
      </c>
      <c r="S131" s="67"/>
    </row>
    <row r="132" spans="1:19" s="62" customFormat="1" ht="120" customHeight="1" x14ac:dyDescent="0.25">
      <c r="A132" s="67"/>
      <c r="B132" s="59" t="s">
        <v>495</v>
      </c>
      <c r="C132" s="60">
        <v>42001007</v>
      </c>
      <c r="D132" s="59" t="s">
        <v>159</v>
      </c>
      <c r="E132" s="59" t="s">
        <v>447</v>
      </c>
      <c r="F132" s="60" t="s">
        <v>158</v>
      </c>
      <c r="G132" s="60">
        <v>12</v>
      </c>
      <c r="H132" s="61">
        <v>161.84</v>
      </c>
      <c r="I132" s="79">
        <v>0.2</v>
      </c>
      <c r="J132" s="61">
        <v>246.608</v>
      </c>
      <c r="K132" s="79">
        <f t="shared" si="1"/>
        <v>0.5237765694513099</v>
      </c>
      <c r="L132" s="68">
        <v>246.608</v>
      </c>
      <c r="M132" s="68">
        <v>246.608</v>
      </c>
      <c r="N132" s="68">
        <v>246.608</v>
      </c>
      <c r="O132" s="68">
        <v>246.608</v>
      </c>
      <c r="P132" s="68">
        <v>246.608</v>
      </c>
      <c r="Q132" s="68">
        <v>246.608</v>
      </c>
      <c r="R132" s="67" t="s">
        <v>161</v>
      </c>
      <c r="S132" s="67"/>
    </row>
    <row r="133" spans="1:19" s="62" customFormat="1" ht="120" customHeight="1" x14ac:dyDescent="0.25">
      <c r="A133" s="67"/>
      <c r="B133" s="59" t="s">
        <v>514</v>
      </c>
      <c r="C133" s="60">
        <v>42001008</v>
      </c>
      <c r="D133" s="59" t="s">
        <v>159</v>
      </c>
      <c r="E133" s="59" t="s">
        <v>447</v>
      </c>
      <c r="F133" s="60" t="s">
        <v>158</v>
      </c>
      <c r="G133" s="60">
        <v>12</v>
      </c>
      <c r="H133" s="61">
        <v>154.20999999999998</v>
      </c>
      <c r="I133" s="79">
        <v>0.2</v>
      </c>
      <c r="J133" s="61">
        <v>234.97600000000003</v>
      </c>
      <c r="K133" s="79">
        <f t="shared" si="1"/>
        <v>0.52374035406264219</v>
      </c>
      <c r="L133" s="68">
        <v>234.97600000000003</v>
      </c>
      <c r="M133" s="68">
        <v>234.97600000000003</v>
      </c>
      <c r="N133" s="68">
        <v>234.97600000000003</v>
      </c>
      <c r="O133" s="68">
        <v>234.97600000000003</v>
      </c>
      <c r="P133" s="68">
        <v>234.97600000000003</v>
      </c>
      <c r="Q133" s="68">
        <v>234.97600000000003</v>
      </c>
      <c r="R133" s="67" t="s">
        <v>303</v>
      </c>
      <c r="S133" s="67"/>
    </row>
    <row r="134" spans="1:19" s="62" customFormat="1" ht="120" customHeight="1" x14ac:dyDescent="0.25">
      <c r="A134" s="67"/>
      <c r="B134" s="59" t="s">
        <v>496</v>
      </c>
      <c r="C134" s="60">
        <v>42001011</v>
      </c>
      <c r="D134" s="59" t="s">
        <v>159</v>
      </c>
      <c r="E134" s="59" t="s">
        <v>447</v>
      </c>
      <c r="F134" s="60" t="s">
        <v>158</v>
      </c>
      <c r="G134" s="60">
        <v>10</v>
      </c>
      <c r="H134" s="61">
        <v>825.98</v>
      </c>
      <c r="I134" s="79">
        <v>0.2</v>
      </c>
      <c r="J134" s="61">
        <v>1258.624</v>
      </c>
      <c r="K134" s="79">
        <f t="shared" si="1"/>
        <v>0.52379476500641653</v>
      </c>
      <c r="L134" s="68">
        <v>1258.624</v>
      </c>
      <c r="M134" s="68">
        <v>1258.624</v>
      </c>
      <c r="N134" s="68">
        <v>1258.624</v>
      </c>
      <c r="O134" s="68">
        <v>1258.624</v>
      </c>
      <c r="P134" s="68">
        <v>1258.624</v>
      </c>
      <c r="Q134" s="68">
        <v>1258.624</v>
      </c>
      <c r="R134" s="67" t="s">
        <v>187</v>
      </c>
      <c r="S134" s="67"/>
    </row>
    <row r="135" spans="1:19" s="62" customFormat="1" ht="120" customHeight="1" x14ac:dyDescent="0.25">
      <c r="A135" s="67"/>
      <c r="B135" s="59" t="s">
        <v>497</v>
      </c>
      <c r="C135" s="60">
        <v>42001014</v>
      </c>
      <c r="D135" s="59" t="s">
        <v>159</v>
      </c>
      <c r="E135" s="59" t="s">
        <v>447</v>
      </c>
      <c r="F135" s="60" t="s">
        <v>158</v>
      </c>
      <c r="G135" s="60">
        <v>12</v>
      </c>
      <c r="H135" s="61">
        <v>143.53</v>
      </c>
      <c r="I135" s="79">
        <v>0.2</v>
      </c>
      <c r="J135" s="61">
        <v>218.70400000000001</v>
      </c>
      <c r="K135" s="79">
        <f t="shared" si="1"/>
        <v>0.52375113216749125</v>
      </c>
      <c r="L135" s="68">
        <v>218.70400000000001</v>
      </c>
      <c r="M135" s="68">
        <v>218.70400000000001</v>
      </c>
      <c r="N135" s="68">
        <v>218.70400000000001</v>
      </c>
      <c r="O135" s="68">
        <v>218.70400000000001</v>
      </c>
      <c r="P135" s="68">
        <v>218.70400000000001</v>
      </c>
      <c r="Q135" s="68">
        <v>218.70400000000001</v>
      </c>
      <c r="R135" s="67" t="s">
        <v>161</v>
      </c>
      <c r="S135" s="67"/>
    </row>
    <row r="136" spans="1:19" s="62" customFormat="1" ht="120" customHeight="1" x14ac:dyDescent="0.25">
      <c r="A136" s="67"/>
      <c r="B136" s="59" t="s">
        <v>498</v>
      </c>
      <c r="C136" s="60">
        <v>42001017</v>
      </c>
      <c r="D136" s="59" t="s">
        <v>159</v>
      </c>
      <c r="E136" s="59" t="s">
        <v>447</v>
      </c>
      <c r="F136" s="60" t="s">
        <v>158</v>
      </c>
      <c r="G136" s="60">
        <v>12</v>
      </c>
      <c r="H136" s="61">
        <v>166.42999999999998</v>
      </c>
      <c r="I136" s="79">
        <v>0.2</v>
      </c>
      <c r="J136" s="61">
        <v>253.60000000000002</v>
      </c>
      <c r="K136" s="79">
        <f t="shared" si="1"/>
        <v>0.52376374451721475</v>
      </c>
      <c r="L136" s="68">
        <v>253.60000000000002</v>
      </c>
      <c r="M136" s="68">
        <v>253.60000000000002</v>
      </c>
      <c r="N136" s="68">
        <v>253.60000000000002</v>
      </c>
      <c r="O136" s="68">
        <v>253.60000000000002</v>
      </c>
      <c r="P136" s="68">
        <v>253.60000000000002</v>
      </c>
      <c r="Q136" s="68">
        <v>253.60000000000002</v>
      </c>
      <c r="R136" s="67" t="s">
        <v>303</v>
      </c>
      <c r="S136" s="67"/>
    </row>
    <row r="137" spans="1:19" s="62" customFormat="1" ht="120" customHeight="1" x14ac:dyDescent="0.25">
      <c r="A137" s="67"/>
      <c r="B137" s="59" t="s">
        <v>499</v>
      </c>
      <c r="C137" s="60">
        <v>42001021</v>
      </c>
      <c r="D137" s="59" t="s">
        <v>159</v>
      </c>
      <c r="E137" s="59" t="s">
        <v>447</v>
      </c>
      <c r="F137" s="60" t="s">
        <v>158</v>
      </c>
      <c r="G137" s="60">
        <v>12</v>
      </c>
      <c r="H137" s="61">
        <v>166.42999999999998</v>
      </c>
      <c r="I137" s="79">
        <v>0.2</v>
      </c>
      <c r="J137" s="61">
        <v>253.60000000000002</v>
      </c>
      <c r="K137" s="79">
        <f t="shared" si="1"/>
        <v>0.52376374451721475</v>
      </c>
      <c r="L137" s="68">
        <v>253.60000000000002</v>
      </c>
      <c r="M137" s="68">
        <v>253.60000000000002</v>
      </c>
      <c r="N137" s="68">
        <v>253.60000000000002</v>
      </c>
      <c r="O137" s="68">
        <v>253.60000000000002</v>
      </c>
      <c r="P137" s="68">
        <v>253.60000000000002</v>
      </c>
      <c r="Q137" s="68">
        <v>253.60000000000002</v>
      </c>
      <c r="R137" s="67" t="s">
        <v>187</v>
      </c>
      <c r="S137" s="67"/>
    </row>
    <row r="138" spans="1:19" s="62" customFormat="1" ht="120" customHeight="1" x14ac:dyDescent="0.25">
      <c r="A138" s="67"/>
      <c r="B138" s="59" t="s">
        <v>500</v>
      </c>
      <c r="C138" s="60">
        <v>42001022</v>
      </c>
      <c r="D138" s="59" t="s">
        <v>159</v>
      </c>
      <c r="E138" s="59" t="s">
        <v>447</v>
      </c>
      <c r="F138" s="60" t="s">
        <v>158</v>
      </c>
      <c r="G138" s="60">
        <v>12</v>
      </c>
      <c r="H138" s="61">
        <v>123.66000000000001</v>
      </c>
      <c r="I138" s="79">
        <v>0.2</v>
      </c>
      <c r="J138" s="61">
        <v>188.43200000000002</v>
      </c>
      <c r="K138" s="79">
        <f t="shared" si="1"/>
        <v>0.52379103994824527</v>
      </c>
      <c r="L138" s="68">
        <v>188.43200000000002</v>
      </c>
      <c r="M138" s="68">
        <v>188.43200000000002</v>
      </c>
      <c r="N138" s="68">
        <v>188.43200000000002</v>
      </c>
      <c r="O138" s="68">
        <v>188.43200000000002</v>
      </c>
      <c r="P138" s="68">
        <v>188.43200000000002</v>
      </c>
      <c r="Q138" s="68">
        <v>188.43200000000002</v>
      </c>
      <c r="R138" s="67" t="s">
        <v>303</v>
      </c>
      <c r="S138" s="67"/>
    </row>
    <row r="139" spans="1:19" s="62" customFormat="1" ht="120" customHeight="1" x14ac:dyDescent="0.25">
      <c r="A139" s="67"/>
      <c r="B139" s="59" t="s">
        <v>501</v>
      </c>
      <c r="C139" s="60">
        <v>42001023</v>
      </c>
      <c r="D139" s="59" t="s">
        <v>159</v>
      </c>
      <c r="E139" s="59" t="s">
        <v>447</v>
      </c>
      <c r="F139" s="60" t="s">
        <v>158</v>
      </c>
      <c r="G139" s="60">
        <v>12</v>
      </c>
      <c r="H139" s="61">
        <v>203.06</v>
      </c>
      <c r="I139" s="79">
        <v>0.2</v>
      </c>
      <c r="J139" s="61">
        <v>309.42399999999998</v>
      </c>
      <c r="K139" s="79">
        <f t="shared" si="1"/>
        <v>0.5238057716930955</v>
      </c>
      <c r="L139" s="68">
        <v>309.42399999999998</v>
      </c>
      <c r="M139" s="68">
        <v>309.42399999999998</v>
      </c>
      <c r="N139" s="68">
        <v>309.42399999999998</v>
      </c>
      <c r="O139" s="68">
        <v>309.42399999999998</v>
      </c>
      <c r="P139" s="68">
        <v>309.42399999999998</v>
      </c>
      <c r="Q139" s="68">
        <v>309.42399999999998</v>
      </c>
      <c r="R139" s="67" t="s">
        <v>187</v>
      </c>
      <c r="S139" s="67"/>
    </row>
    <row r="140" spans="1:19" s="62" customFormat="1" ht="120" customHeight="1" x14ac:dyDescent="0.25">
      <c r="A140" s="67"/>
      <c r="B140" s="59" t="s">
        <v>502</v>
      </c>
      <c r="C140" s="60">
        <v>42001028</v>
      </c>
      <c r="D140" s="59" t="s">
        <v>159</v>
      </c>
      <c r="E140" s="59" t="s">
        <v>447</v>
      </c>
      <c r="F140" s="60" t="s">
        <v>158</v>
      </c>
      <c r="G140" s="60">
        <v>12</v>
      </c>
      <c r="H140" s="61">
        <v>152.69</v>
      </c>
      <c r="I140" s="79">
        <v>0.2</v>
      </c>
      <c r="J140" s="61">
        <v>232.65600000000001</v>
      </c>
      <c r="K140" s="79">
        <f t="shared" ref="K140:K203" si="2">+J140/H140-1</f>
        <v>0.52371471609142706</v>
      </c>
      <c r="L140" s="68">
        <v>232.65600000000001</v>
      </c>
      <c r="M140" s="68">
        <v>232.65600000000001</v>
      </c>
      <c r="N140" s="68">
        <v>232.65600000000001</v>
      </c>
      <c r="O140" s="68">
        <v>232.65600000000001</v>
      </c>
      <c r="P140" s="68">
        <v>232.65600000000001</v>
      </c>
      <c r="Q140" s="68">
        <v>232.65600000000001</v>
      </c>
      <c r="R140" s="67" t="s">
        <v>303</v>
      </c>
      <c r="S140" s="67"/>
    </row>
    <row r="141" spans="1:19" s="62" customFormat="1" ht="120" customHeight="1" x14ac:dyDescent="0.25">
      <c r="A141" s="67"/>
      <c r="B141" s="59" t="s">
        <v>503</v>
      </c>
      <c r="C141" s="60">
        <v>42001029</v>
      </c>
      <c r="D141" s="59" t="s">
        <v>159</v>
      </c>
      <c r="E141" s="59" t="s">
        <v>447</v>
      </c>
      <c r="F141" s="60" t="s">
        <v>158</v>
      </c>
      <c r="G141" s="60">
        <v>12</v>
      </c>
      <c r="H141" s="61">
        <v>175.59</v>
      </c>
      <c r="I141" s="79">
        <v>0.2</v>
      </c>
      <c r="J141" s="61">
        <v>267.55200000000002</v>
      </c>
      <c r="K141" s="79">
        <f t="shared" si="2"/>
        <v>0.52373141978472582</v>
      </c>
      <c r="L141" s="68">
        <v>267.55200000000002</v>
      </c>
      <c r="M141" s="68">
        <v>267.55200000000002</v>
      </c>
      <c r="N141" s="68">
        <v>267.55200000000002</v>
      </c>
      <c r="O141" s="68">
        <v>267.55200000000002</v>
      </c>
      <c r="P141" s="68">
        <v>267.55200000000002</v>
      </c>
      <c r="Q141" s="68">
        <v>267.55200000000002</v>
      </c>
      <c r="R141" s="67" t="s">
        <v>303</v>
      </c>
      <c r="S141" s="67"/>
    </row>
    <row r="142" spans="1:19" s="62" customFormat="1" ht="120" customHeight="1" x14ac:dyDescent="0.25">
      <c r="A142" s="67"/>
      <c r="B142" s="59" t="s">
        <v>504</v>
      </c>
      <c r="C142" s="60">
        <v>42001035</v>
      </c>
      <c r="D142" s="59" t="s">
        <v>159</v>
      </c>
      <c r="E142" s="59" t="s">
        <v>447</v>
      </c>
      <c r="F142" s="60" t="s">
        <v>158</v>
      </c>
      <c r="G142" s="60">
        <v>12</v>
      </c>
      <c r="H142" s="61">
        <v>430.56</v>
      </c>
      <c r="I142" s="79">
        <v>0.2</v>
      </c>
      <c r="J142" s="61">
        <v>656.08</v>
      </c>
      <c r="K142" s="79">
        <f t="shared" si="2"/>
        <v>0.52378298030471959</v>
      </c>
      <c r="L142" s="68">
        <v>656.08</v>
      </c>
      <c r="M142" s="68">
        <v>656.08</v>
      </c>
      <c r="N142" s="68">
        <v>656.08</v>
      </c>
      <c r="O142" s="68">
        <v>656.08</v>
      </c>
      <c r="P142" s="68">
        <v>656.08</v>
      </c>
      <c r="Q142" s="68">
        <v>656.08</v>
      </c>
      <c r="R142" s="67" t="s">
        <v>161</v>
      </c>
      <c r="S142" s="67"/>
    </row>
    <row r="143" spans="1:19" s="62" customFormat="1" ht="120" customHeight="1" x14ac:dyDescent="0.25">
      <c r="A143" s="67"/>
      <c r="B143" s="59" t="s">
        <v>515</v>
      </c>
      <c r="C143" s="60">
        <v>42001036</v>
      </c>
      <c r="D143" s="59" t="s">
        <v>159</v>
      </c>
      <c r="E143" s="59" t="s">
        <v>447</v>
      </c>
      <c r="F143" s="60" t="s">
        <v>158</v>
      </c>
      <c r="G143" s="60">
        <v>12</v>
      </c>
      <c r="H143" s="61">
        <v>668.73</v>
      </c>
      <c r="I143" s="79">
        <v>0.2</v>
      </c>
      <c r="J143" s="61">
        <v>1019.008</v>
      </c>
      <c r="K143" s="79">
        <f t="shared" si="2"/>
        <v>0.5237958518385597</v>
      </c>
      <c r="L143" s="68">
        <v>1019.008</v>
      </c>
      <c r="M143" s="68">
        <v>1019.008</v>
      </c>
      <c r="N143" s="68">
        <v>1019.008</v>
      </c>
      <c r="O143" s="68">
        <v>1019.008</v>
      </c>
      <c r="P143" s="68">
        <v>1019.008</v>
      </c>
      <c r="Q143" s="68">
        <v>1019.008</v>
      </c>
      <c r="R143" s="67" t="s">
        <v>161</v>
      </c>
      <c r="S143" s="67"/>
    </row>
    <row r="144" spans="1:19" s="62" customFormat="1" ht="120" customHeight="1" x14ac:dyDescent="0.25">
      <c r="A144" s="67"/>
      <c r="B144" s="59" t="s">
        <v>505</v>
      </c>
      <c r="C144" s="60">
        <v>42001082</v>
      </c>
      <c r="D144" s="59" t="s">
        <v>159</v>
      </c>
      <c r="E144" s="59" t="s">
        <v>447</v>
      </c>
      <c r="F144" s="60" t="s">
        <v>158</v>
      </c>
      <c r="G144" s="60">
        <v>12</v>
      </c>
      <c r="H144" s="61">
        <v>215.28</v>
      </c>
      <c r="I144" s="79">
        <v>0.2</v>
      </c>
      <c r="J144" s="61">
        <v>328.03200000000004</v>
      </c>
      <c r="K144" s="79">
        <f t="shared" si="2"/>
        <v>0.52374581939799358</v>
      </c>
      <c r="L144" s="68">
        <v>328.03200000000004</v>
      </c>
      <c r="M144" s="68">
        <v>328.03200000000004</v>
      </c>
      <c r="N144" s="68">
        <v>328.03200000000004</v>
      </c>
      <c r="O144" s="68">
        <v>328.03200000000004</v>
      </c>
      <c r="P144" s="68">
        <v>328.03200000000004</v>
      </c>
      <c r="Q144" s="68">
        <v>328.03200000000004</v>
      </c>
      <c r="R144" s="67" t="s">
        <v>303</v>
      </c>
      <c r="S144" s="67"/>
    </row>
    <row r="145" spans="1:19" s="62" customFormat="1" ht="120" customHeight="1" x14ac:dyDescent="0.25">
      <c r="A145" s="67"/>
      <c r="B145" s="59" t="s">
        <v>506</v>
      </c>
      <c r="C145" s="60">
        <v>42001091</v>
      </c>
      <c r="D145" s="59" t="s">
        <v>159</v>
      </c>
      <c r="E145" s="59" t="s">
        <v>447</v>
      </c>
      <c r="F145" s="60" t="s">
        <v>158</v>
      </c>
      <c r="G145" s="60">
        <v>12</v>
      </c>
      <c r="H145" s="61">
        <v>183.22</v>
      </c>
      <c r="I145" s="79">
        <v>0.2</v>
      </c>
      <c r="J145" s="61">
        <v>279.18400000000003</v>
      </c>
      <c r="K145" s="79">
        <f t="shared" si="2"/>
        <v>0.52376378124658896</v>
      </c>
      <c r="L145" s="68">
        <v>279.18400000000003</v>
      </c>
      <c r="M145" s="68">
        <v>279.18400000000003</v>
      </c>
      <c r="N145" s="68">
        <v>279.18400000000003</v>
      </c>
      <c r="O145" s="68">
        <v>279.18400000000003</v>
      </c>
      <c r="P145" s="68">
        <v>279.18400000000003</v>
      </c>
      <c r="Q145" s="68">
        <v>279.18400000000003</v>
      </c>
      <c r="R145" s="67" t="s">
        <v>187</v>
      </c>
      <c r="S145" s="67"/>
    </row>
    <row r="146" spans="1:19" s="62" customFormat="1" ht="120" customHeight="1" x14ac:dyDescent="0.25">
      <c r="A146" s="67"/>
      <c r="B146" s="59" t="s">
        <v>507</v>
      </c>
      <c r="C146" s="60">
        <v>42001702</v>
      </c>
      <c r="D146" s="59" t="s">
        <v>159</v>
      </c>
      <c r="E146" s="59" t="s">
        <v>448</v>
      </c>
      <c r="F146" s="60" t="s">
        <v>158</v>
      </c>
      <c r="G146" s="60">
        <v>25</v>
      </c>
      <c r="H146" s="61">
        <v>87.03</v>
      </c>
      <c r="I146" s="79">
        <v>0.2</v>
      </c>
      <c r="J146" s="61">
        <v>132.608</v>
      </c>
      <c r="K146" s="79">
        <f t="shared" si="2"/>
        <v>0.52370446972308393</v>
      </c>
      <c r="L146" s="68">
        <v>132.608</v>
      </c>
      <c r="M146" s="68">
        <v>132.608</v>
      </c>
      <c r="N146" s="68">
        <v>132.608</v>
      </c>
      <c r="O146" s="68">
        <v>132.608</v>
      </c>
      <c r="P146" s="68">
        <v>132.608</v>
      </c>
      <c r="Q146" s="68">
        <v>132.608</v>
      </c>
      <c r="R146" s="67" t="s">
        <v>161</v>
      </c>
      <c r="S146" s="67"/>
    </row>
    <row r="147" spans="1:19" s="62" customFormat="1" ht="120" customHeight="1" x14ac:dyDescent="0.25">
      <c r="A147" s="67"/>
      <c r="B147" s="59" t="s">
        <v>508</v>
      </c>
      <c r="C147" s="60">
        <v>42001703</v>
      </c>
      <c r="D147" s="59" t="s">
        <v>159</v>
      </c>
      <c r="E147" s="59" t="s">
        <v>449</v>
      </c>
      <c r="F147" s="60" t="s">
        <v>158</v>
      </c>
      <c r="G147" s="60">
        <v>20</v>
      </c>
      <c r="H147" s="61">
        <v>120.63000000000001</v>
      </c>
      <c r="I147" s="79">
        <v>0.2</v>
      </c>
      <c r="J147" s="61">
        <v>183.80799999999999</v>
      </c>
      <c r="K147" s="79">
        <f t="shared" si="2"/>
        <v>0.52373373124430067</v>
      </c>
      <c r="L147" s="68">
        <v>183.80799999999999</v>
      </c>
      <c r="M147" s="68">
        <v>183.80799999999999</v>
      </c>
      <c r="N147" s="68">
        <v>183.80799999999999</v>
      </c>
      <c r="O147" s="68">
        <v>183.80799999999999</v>
      </c>
      <c r="P147" s="68">
        <v>183.80799999999999</v>
      </c>
      <c r="Q147" s="68">
        <v>183.80799999999999</v>
      </c>
      <c r="R147" s="67" t="s">
        <v>161</v>
      </c>
      <c r="S147" s="67"/>
    </row>
    <row r="148" spans="1:19" s="62" customFormat="1" ht="120" customHeight="1" x14ac:dyDescent="0.25">
      <c r="A148" s="67"/>
      <c r="B148" s="59" t="s">
        <v>509</v>
      </c>
      <c r="C148" s="60">
        <v>42001704</v>
      </c>
      <c r="D148" s="59" t="s">
        <v>159</v>
      </c>
      <c r="E148" s="59" t="s">
        <v>450</v>
      </c>
      <c r="F148" s="60" t="s">
        <v>158</v>
      </c>
      <c r="G148" s="60">
        <v>25</v>
      </c>
      <c r="H148" s="61">
        <v>171.01</v>
      </c>
      <c r="I148" s="79">
        <v>0.2</v>
      </c>
      <c r="J148" s="61">
        <v>260.57600000000002</v>
      </c>
      <c r="K148" s="79">
        <f t="shared" si="2"/>
        <v>0.52374714928951538</v>
      </c>
      <c r="L148" s="68">
        <v>260.57600000000002</v>
      </c>
      <c r="M148" s="68">
        <v>260.57600000000002</v>
      </c>
      <c r="N148" s="68">
        <v>260.57600000000002</v>
      </c>
      <c r="O148" s="68">
        <v>260.57600000000002</v>
      </c>
      <c r="P148" s="68">
        <v>260.57600000000002</v>
      </c>
      <c r="Q148" s="68">
        <v>260.57600000000002</v>
      </c>
      <c r="R148" s="67" t="s">
        <v>161</v>
      </c>
      <c r="S148" s="67"/>
    </row>
    <row r="149" spans="1:19" s="62" customFormat="1" ht="120" customHeight="1" x14ac:dyDescent="0.25">
      <c r="A149" s="67"/>
      <c r="B149" s="59" t="s">
        <v>510</v>
      </c>
      <c r="C149" s="60">
        <v>42001705</v>
      </c>
      <c r="D149" s="59" t="s">
        <v>159</v>
      </c>
      <c r="E149" s="59" t="s">
        <v>451</v>
      </c>
      <c r="F149" s="60" t="s">
        <v>158</v>
      </c>
      <c r="G149" s="60">
        <v>5</v>
      </c>
      <c r="H149" s="61">
        <v>227.5</v>
      </c>
      <c r="I149" s="79">
        <v>0.2</v>
      </c>
      <c r="J149" s="61">
        <v>346.65600000000001</v>
      </c>
      <c r="K149" s="79">
        <f t="shared" si="2"/>
        <v>0.5237626373626374</v>
      </c>
      <c r="L149" s="68">
        <v>346.65600000000001</v>
      </c>
      <c r="M149" s="68">
        <v>346.65600000000001</v>
      </c>
      <c r="N149" s="68">
        <v>346.65600000000001</v>
      </c>
      <c r="O149" s="68">
        <v>346.65600000000001</v>
      </c>
      <c r="P149" s="68">
        <v>346.65600000000001</v>
      </c>
      <c r="Q149" s="68">
        <v>346.65600000000001</v>
      </c>
      <c r="R149" s="67" t="s">
        <v>161</v>
      </c>
      <c r="S149" s="67"/>
    </row>
    <row r="150" spans="1:19" s="62" customFormat="1" ht="120" customHeight="1" x14ac:dyDescent="0.25">
      <c r="A150" s="67"/>
      <c r="B150" s="59" t="s">
        <v>512</v>
      </c>
      <c r="C150" s="60">
        <v>42001707</v>
      </c>
      <c r="D150" s="59" t="s">
        <v>159</v>
      </c>
      <c r="E150" s="59" t="s">
        <v>448</v>
      </c>
      <c r="F150" s="60" t="s">
        <v>158</v>
      </c>
      <c r="G150" s="60">
        <v>25</v>
      </c>
      <c r="H150" s="61">
        <v>87.03</v>
      </c>
      <c r="I150" s="79">
        <v>0.2</v>
      </c>
      <c r="J150" s="61">
        <v>132.608</v>
      </c>
      <c r="K150" s="79">
        <f t="shared" si="2"/>
        <v>0.52370446972308393</v>
      </c>
      <c r="L150" s="68">
        <v>132.608</v>
      </c>
      <c r="M150" s="68">
        <v>132.608</v>
      </c>
      <c r="N150" s="68">
        <v>132.608</v>
      </c>
      <c r="O150" s="68">
        <v>132.608</v>
      </c>
      <c r="P150" s="68">
        <v>132.608</v>
      </c>
      <c r="Q150" s="68">
        <v>132.608</v>
      </c>
      <c r="R150" s="67" t="s">
        <v>161</v>
      </c>
      <c r="S150" s="67"/>
    </row>
    <row r="151" spans="1:19" s="62" customFormat="1" ht="120" customHeight="1" x14ac:dyDescent="0.25">
      <c r="A151" s="67"/>
      <c r="B151" s="59" t="s">
        <v>511</v>
      </c>
      <c r="C151" s="60">
        <v>42001708</v>
      </c>
      <c r="D151" s="59" t="s">
        <v>159</v>
      </c>
      <c r="E151" s="59" t="s">
        <v>449</v>
      </c>
      <c r="F151" s="60" t="s">
        <v>158</v>
      </c>
      <c r="G151" s="60">
        <v>20</v>
      </c>
      <c r="H151" s="61">
        <v>120.63000000000001</v>
      </c>
      <c r="I151" s="79">
        <v>0.2</v>
      </c>
      <c r="J151" s="61">
        <v>183.80799999999999</v>
      </c>
      <c r="K151" s="79">
        <f t="shared" si="2"/>
        <v>0.52373373124430067</v>
      </c>
      <c r="L151" s="68">
        <v>183.80799999999999</v>
      </c>
      <c r="M151" s="68">
        <v>183.80799999999999</v>
      </c>
      <c r="N151" s="68">
        <v>183.80799999999999</v>
      </c>
      <c r="O151" s="68">
        <v>183.80799999999999</v>
      </c>
      <c r="P151" s="68">
        <v>183.80799999999999</v>
      </c>
      <c r="Q151" s="68">
        <v>183.80799999999999</v>
      </c>
      <c r="R151" s="67" t="s">
        <v>161</v>
      </c>
      <c r="S151" s="67"/>
    </row>
    <row r="152" spans="1:19" s="62" customFormat="1" ht="120" customHeight="1" x14ac:dyDescent="0.25">
      <c r="A152" s="69"/>
      <c r="B152" s="69" t="s">
        <v>162</v>
      </c>
      <c r="C152" s="60">
        <v>56001001</v>
      </c>
      <c r="D152" s="69" t="s">
        <v>159</v>
      </c>
      <c r="E152" s="69" t="s">
        <v>456</v>
      </c>
      <c r="F152" s="70" t="s">
        <v>158</v>
      </c>
      <c r="G152" s="70">
        <v>12</v>
      </c>
      <c r="H152" s="61">
        <v>128.26</v>
      </c>
      <c r="I152" s="79">
        <v>0.2</v>
      </c>
      <c r="J152" s="61">
        <v>195.44000000000003</v>
      </c>
      <c r="K152" s="79">
        <f t="shared" si="2"/>
        <v>0.52377982223608321</v>
      </c>
      <c r="L152" s="68">
        <v>195.44000000000003</v>
      </c>
      <c r="M152" s="68">
        <v>195.44000000000003</v>
      </c>
      <c r="N152" s="68">
        <v>195.44000000000003</v>
      </c>
      <c r="O152" s="68">
        <v>195.44000000000003</v>
      </c>
      <c r="P152" s="68">
        <v>195.44000000000003</v>
      </c>
      <c r="Q152" s="68">
        <v>195.44000000000003</v>
      </c>
      <c r="R152" s="69" t="s">
        <v>187</v>
      </c>
      <c r="S152" s="69"/>
    </row>
    <row r="153" spans="1:19" s="62" customFormat="1" ht="120" customHeight="1" x14ac:dyDescent="0.25">
      <c r="A153" s="67"/>
      <c r="B153" s="59" t="s">
        <v>163</v>
      </c>
      <c r="C153" s="60">
        <v>56001003</v>
      </c>
      <c r="D153" s="59" t="s">
        <v>159</v>
      </c>
      <c r="E153" s="59" t="s">
        <v>456</v>
      </c>
      <c r="F153" s="60" t="s">
        <v>158</v>
      </c>
      <c r="G153" s="60">
        <v>12</v>
      </c>
      <c r="H153" s="61">
        <v>154.20999999999998</v>
      </c>
      <c r="I153" s="79">
        <v>0.2</v>
      </c>
      <c r="J153" s="61">
        <v>234.97600000000003</v>
      </c>
      <c r="K153" s="79">
        <f t="shared" si="2"/>
        <v>0.52374035406264219</v>
      </c>
      <c r="L153" s="68">
        <v>234.97600000000003</v>
      </c>
      <c r="M153" s="64">
        <v>234.97600000000003</v>
      </c>
      <c r="N153" s="64">
        <v>234.97600000000003</v>
      </c>
      <c r="O153" s="64">
        <v>234.97600000000003</v>
      </c>
      <c r="P153" s="64">
        <v>234.97600000000003</v>
      </c>
      <c r="Q153" s="68">
        <v>234.97600000000003</v>
      </c>
      <c r="R153" s="67" t="s">
        <v>187</v>
      </c>
      <c r="S153" s="67"/>
    </row>
    <row r="154" spans="1:19" s="62" customFormat="1" ht="120" customHeight="1" x14ac:dyDescent="0.25">
      <c r="A154" s="67"/>
      <c r="B154" s="59" t="s">
        <v>164</v>
      </c>
      <c r="C154" s="60">
        <v>56001005</v>
      </c>
      <c r="D154" s="59" t="s">
        <v>159</v>
      </c>
      <c r="E154" s="59" t="s">
        <v>456</v>
      </c>
      <c r="F154" s="60" t="s">
        <v>158</v>
      </c>
      <c r="G154" s="60">
        <v>12</v>
      </c>
      <c r="H154" s="61">
        <v>155.73999999999998</v>
      </c>
      <c r="I154" s="79">
        <v>0.2</v>
      </c>
      <c r="J154" s="61">
        <v>237.31200000000001</v>
      </c>
      <c r="K154" s="79">
        <f t="shared" si="2"/>
        <v>0.52377038654167229</v>
      </c>
      <c r="L154" s="68">
        <v>237.31200000000001</v>
      </c>
      <c r="M154" s="64">
        <v>237.31200000000001</v>
      </c>
      <c r="N154" s="64">
        <v>237.31200000000001</v>
      </c>
      <c r="O154" s="64">
        <v>237.31200000000001</v>
      </c>
      <c r="P154" s="64">
        <v>237.31200000000001</v>
      </c>
      <c r="Q154" s="68">
        <v>237.31200000000001</v>
      </c>
      <c r="R154" s="67" t="s">
        <v>187</v>
      </c>
      <c r="S154" s="67"/>
    </row>
    <row r="155" spans="1:19" s="62" customFormat="1" ht="120" customHeight="1" x14ac:dyDescent="0.25">
      <c r="A155" s="72"/>
      <c r="B155" s="72" t="s">
        <v>165</v>
      </c>
      <c r="C155" s="81">
        <v>56001007</v>
      </c>
      <c r="D155" s="72" t="s">
        <v>159</v>
      </c>
      <c r="E155" s="72" t="s">
        <v>456</v>
      </c>
      <c r="F155" s="73" t="s">
        <v>158</v>
      </c>
      <c r="G155" s="73">
        <v>12</v>
      </c>
      <c r="H155" s="61">
        <v>161.84</v>
      </c>
      <c r="I155" s="79">
        <v>0.2</v>
      </c>
      <c r="J155" s="61">
        <v>246.608</v>
      </c>
      <c r="K155" s="79">
        <f t="shared" si="2"/>
        <v>0.5237765694513099</v>
      </c>
      <c r="L155" s="68">
        <v>246.608</v>
      </c>
      <c r="M155" s="74">
        <v>246.608</v>
      </c>
      <c r="N155" s="74">
        <v>246.608</v>
      </c>
      <c r="O155" s="74">
        <v>246.608</v>
      </c>
      <c r="P155" s="74">
        <v>246.608</v>
      </c>
      <c r="Q155" s="74">
        <v>246.608</v>
      </c>
      <c r="R155" s="72" t="s">
        <v>161</v>
      </c>
      <c r="S155" s="72"/>
    </row>
    <row r="156" spans="1:19" s="62" customFormat="1" ht="120" customHeight="1" x14ac:dyDescent="0.25">
      <c r="A156" s="72"/>
      <c r="B156" s="72" t="s">
        <v>166</v>
      </c>
      <c r="C156" s="81">
        <v>56001011</v>
      </c>
      <c r="D156" s="72" t="s">
        <v>159</v>
      </c>
      <c r="E156" s="72" t="s">
        <v>456</v>
      </c>
      <c r="F156" s="73" t="s">
        <v>158</v>
      </c>
      <c r="G156" s="73">
        <v>10</v>
      </c>
      <c r="H156" s="61">
        <v>825.98</v>
      </c>
      <c r="I156" s="79">
        <v>0.2</v>
      </c>
      <c r="J156" s="61">
        <v>1258.624</v>
      </c>
      <c r="K156" s="79">
        <f t="shared" si="2"/>
        <v>0.52379476500641653</v>
      </c>
      <c r="L156" s="68">
        <v>1258.624</v>
      </c>
      <c r="M156" s="74">
        <v>1258.624</v>
      </c>
      <c r="N156" s="74">
        <v>1258.624</v>
      </c>
      <c r="O156" s="74">
        <v>1258.624</v>
      </c>
      <c r="P156" s="74">
        <v>1258.624</v>
      </c>
      <c r="Q156" s="74">
        <v>1258.624</v>
      </c>
      <c r="R156" s="72" t="s">
        <v>187</v>
      </c>
      <c r="S156" s="72"/>
    </row>
    <row r="157" spans="1:19" s="62" customFormat="1" ht="120" customHeight="1" x14ac:dyDescent="0.25">
      <c r="A157" s="72"/>
      <c r="B157" s="72" t="s">
        <v>167</v>
      </c>
      <c r="C157" s="81">
        <v>56001017</v>
      </c>
      <c r="D157" s="72" t="s">
        <v>159</v>
      </c>
      <c r="E157" s="72" t="s">
        <v>456</v>
      </c>
      <c r="F157" s="73" t="s">
        <v>158</v>
      </c>
      <c r="G157" s="73">
        <v>12</v>
      </c>
      <c r="H157" s="61">
        <v>166.42999999999998</v>
      </c>
      <c r="I157" s="79">
        <v>0.2</v>
      </c>
      <c r="J157" s="61">
        <v>253.60000000000002</v>
      </c>
      <c r="K157" s="79">
        <f t="shared" si="2"/>
        <v>0.52376374451721475</v>
      </c>
      <c r="L157" s="68">
        <v>253.60000000000002</v>
      </c>
      <c r="M157" s="74">
        <v>253.60000000000002</v>
      </c>
      <c r="N157" s="74">
        <v>253.60000000000002</v>
      </c>
      <c r="O157" s="74">
        <v>253.60000000000002</v>
      </c>
      <c r="P157" s="74">
        <v>253.60000000000002</v>
      </c>
      <c r="Q157" s="74">
        <v>253.60000000000002</v>
      </c>
      <c r="R157" s="72" t="s">
        <v>303</v>
      </c>
      <c r="S157" s="72"/>
    </row>
    <row r="158" spans="1:19" s="62" customFormat="1" ht="120" customHeight="1" x14ac:dyDescent="0.25">
      <c r="A158" s="72"/>
      <c r="B158" s="72" t="s">
        <v>168</v>
      </c>
      <c r="C158" s="81">
        <v>56001021</v>
      </c>
      <c r="D158" s="72" t="s">
        <v>159</v>
      </c>
      <c r="E158" s="72" t="s">
        <v>456</v>
      </c>
      <c r="F158" s="73" t="s">
        <v>158</v>
      </c>
      <c r="G158" s="73">
        <v>12</v>
      </c>
      <c r="H158" s="61">
        <v>166.42999999999998</v>
      </c>
      <c r="I158" s="79">
        <v>0.2</v>
      </c>
      <c r="J158" s="61">
        <v>253.60000000000002</v>
      </c>
      <c r="K158" s="79">
        <f t="shared" si="2"/>
        <v>0.52376374451721475</v>
      </c>
      <c r="L158" s="68">
        <v>253.60000000000002</v>
      </c>
      <c r="M158" s="74">
        <v>253.60000000000002</v>
      </c>
      <c r="N158" s="74">
        <v>253.60000000000002</v>
      </c>
      <c r="O158" s="74">
        <v>253.60000000000002</v>
      </c>
      <c r="P158" s="74">
        <v>253.60000000000002</v>
      </c>
      <c r="Q158" s="74">
        <v>253.60000000000002</v>
      </c>
      <c r="R158" s="72" t="s">
        <v>187</v>
      </c>
      <c r="S158" s="72"/>
    </row>
    <row r="159" spans="1:19" s="62" customFormat="1" ht="120" customHeight="1" x14ac:dyDescent="0.25">
      <c r="A159" s="72"/>
      <c r="B159" s="72" t="s">
        <v>169</v>
      </c>
      <c r="C159" s="81">
        <v>56001022</v>
      </c>
      <c r="D159" s="72" t="s">
        <v>159</v>
      </c>
      <c r="E159" s="72" t="s">
        <v>456</v>
      </c>
      <c r="F159" s="73" t="s">
        <v>158</v>
      </c>
      <c r="G159" s="73">
        <v>12</v>
      </c>
      <c r="H159" s="61">
        <v>123.66000000000001</v>
      </c>
      <c r="I159" s="79">
        <v>0.2</v>
      </c>
      <c r="J159" s="61">
        <v>188.43200000000002</v>
      </c>
      <c r="K159" s="79">
        <f t="shared" si="2"/>
        <v>0.52379103994824527</v>
      </c>
      <c r="L159" s="68">
        <v>188.43200000000002</v>
      </c>
      <c r="M159" s="74">
        <v>188.43200000000002</v>
      </c>
      <c r="N159" s="74">
        <v>188.43200000000002</v>
      </c>
      <c r="O159" s="74">
        <v>188.43200000000002</v>
      </c>
      <c r="P159" s="74">
        <v>188.43200000000002</v>
      </c>
      <c r="Q159" s="74">
        <v>188.43200000000002</v>
      </c>
      <c r="R159" s="72" t="s">
        <v>303</v>
      </c>
      <c r="S159" s="72"/>
    </row>
    <row r="160" spans="1:19" s="62" customFormat="1" ht="120" customHeight="1" x14ac:dyDescent="0.25">
      <c r="A160" s="72"/>
      <c r="B160" s="72" t="s">
        <v>170</v>
      </c>
      <c r="C160" s="81">
        <v>56001023</v>
      </c>
      <c r="D160" s="72" t="s">
        <v>159</v>
      </c>
      <c r="E160" s="72" t="s">
        <v>456</v>
      </c>
      <c r="F160" s="73" t="s">
        <v>158</v>
      </c>
      <c r="G160" s="73">
        <v>12</v>
      </c>
      <c r="H160" s="61">
        <v>203.06</v>
      </c>
      <c r="I160" s="79">
        <v>0.2</v>
      </c>
      <c r="J160" s="61">
        <v>309.42399999999998</v>
      </c>
      <c r="K160" s="79">
        <f t="shared" si="2"/>
        <v>0.5238057716930955</v>
      </c>
      <c r="L160" s="68">
        <v>309.42399999999998</v>
      </c>
      <c r="M160" s="74">
        <v>309.42399999999998</v>
      </c>
      <c r="N160" s="74">
        <v>309.42399999999998</v>
      </c>
      <c r="O160" s="74">
        <v>309.42399999999998</v>
      </c>
      <c r="P160" s="74">
        <v>309.42399999999998</v>
      </c>
      <c r="Q160" s="74">
        <v>309.42399999999998</v>
      </c>
      <c r="R160" s="72" t="s">
        <v>187</v>
      </c>
      <c r="S160" s="72"/>
    </row>
    <row r="161" spans="1:19" s="62" customFormat="1" ht="120" customHeight="1" x14ac:dyDescent="0.25">
      <c r="A161" s="72"/>
      <c r="B161" s="72" t="s">
        <v>171</v>
      </c>
      <c r="C161" s="81">
        <v>56001028</v>
      </c>
      <c r="D161" s="72" t="s">
        <v>159</v>
      </c>
      <c r="E161" s="72" t="s">
        <v>456</v>
      </c>
      <c r="F161" s="73" t="s">
        <v>158</v>
      </c>
      <c r="G161" s="73">
        <v>12</v>
      </c>
      <c r="H161" s="61">
        <v>152.69</v>
      </c>
      <c r="I161" s="79">
        <v>0.2</v>
      </c>
      <c r="J161" s="61">
        <v>232.65600000000001</v>
      </c>
      <c r="K161" s="79">
        <f t="shared" si="2"/>
        <v>0.52371471609142706</v>
      </c>
      <c r="L161" s="68">
        <v>232.65600000000001</v>
      </c>
      <c r="M161" s="74">
        <v>232.65600000000001</v>
      </c>
      <c r="N161" s="74">
        <v>232.65600000000001</v>
      </c>
      <c r="O161" s="74">
        <v>232.65600000000001</v>
      </c>
      <c r="P161" s="74">
        <v>232.65600000000001</v>
      </c>
      <c r="Q161" s="74">
        <v>232.65600000000001</v>
      </c>
      <c r="R161" s="72" t="s">
        <v>303</v>
      </c>
      <c r="S161" s="72"/>
    </row>
    <row r="162" spans="1:19" s="62" customFormat="1" ht="120" customHeight="1" x14ac:dyDescent="0.25">
      <c r="A162" s="72"/>
      <c r="B162" s="72" t="s">
        <v>172</v>
      </c>
      <c r="C162" s="81">
        <v>56001029</v>
      </c>
      <c r="D162" s="72" t="s">
        <v>159</v>
      </c>
      <c r="E162" s="72" t="s">
        <v>456</v>
      </c>
      <c r="F162" s="73" t="s">
        <v>158</v>
      </c>
      <c r="G162" s="73">
        <v>12</v>
      </c>
      <c r="H162" s="61">
        <v>175.59</v>
      </c>
      <c r="I162" s="79">
        <v>0.2</v>
      </c>
      <c r="J162" s="61">
        <v>267.55200000000002</v>
      </c>
      <c r="K162" s="79">
        <f t="shared" si="2"/>
        <v>0.52373141978472582</v>
      </c>
      <c r="L162" s="68">
        <v>267.55200000000002</v>
      </c>
      <c r="M162" s="74">
        <v>267.55200000000002</v>
      </c>
      <c r="N162" s="74">
        <v>267.55200000000002</v>
      </c>
      <c r="O162" s="74">
        <v>267.55200000000002</v>
      </c>
      <c r="P162" s="74">
        <v>267.55200000000002</v>
      </c>
      <c r="Q162" s="74">
        <v>267.55200000000002</v>
      </c>
      <c r="R162" s="72" t="s">
        <v>303</v>
      </c>
      <c r="S162" s="72"/>
    </row>
    <row r="163" spans="1:19" s="62" customFormat="1" ht="120" customHeight="1" x14ac:dyDescent="0.25">
      <c r="A163" s="72"/>
      <c r="B163" s="72" t="s">
        <v>173</v>
      </c>
      <c r="C163" s="81">
        <v>56001035</v>
      </c>
      <c r="D163" s="72" t="s">
        <v>159</v>
      </c>
      <c r="E163" s="72" t="s">
        <v>456</v>
      </c>
      <c r="F163" s="73" t="s">
        <v>158</v>
      </c>
      <c r="G163" s="73">
        <v>12</v>
      </c>
      <c r="H163" s="61">
        <v>430.56</v>
      </c>
      <c r="I163" s="79">
        <v>0.2</v>
      </c>
      <c r="J163" s="61">
        <v>656.08</v>
      </c>
      <c r="K163" s="79">
        <f t="shared" si="2"/>
        <v>0.52378298030471959</v>
      </c>
      <c r="L163" s="68">
        <v>656.08</v>
      </c>
      <c r="M163" s="74">
        <v>656.08</v>
      </c>
      <c r="N163" s="74">
        <v>656.08</v>
      </c>
      <c r="O163" s="74">
        <v>656.08</v>
      </c>
      <c r="P163" s="74">
        <v>656.08</v>
      </c>
      <c r="Q163" s="74">
        <v>656.08</v>
      </c>
      <c r="R163" s="72" t="s">
        <v>161</v>
      </c>
      <c r="S163" s="72"/>
    </row>
    <row r="164" spans="1:19" s="62" customFormat="1" ht="120" customHeight="1" x14ac:dyDescent="0.25">
      <c r="A164" s="72"/>
      <c r="B164" s="72" t="s">
        <v>174</v>
      </c>
      <c r="C164" s="81">
        <v>56001082</v>
      </c>
      <c r="D164" s="72" t="s">
        <v>159</v>
      </c>
      <c r="E164" s="72" t="s">
        <v>456</v>
      </c>
      <c r="F164" s="73" t="s">
        <v>158</v>
      </c>
      <c r="G164" s="73">
        <v>12</v>
      </c>
      <c r="H164" s="61">
        <v>215.28</v>
      </c>
      <c r="I164" s="79">
        <v>0.2</v>
      </c>
      <c r="J164" s="61">
        <v>328.03200000000004</v>
      </c>
      <c r="K164" s="79">
        <f t="shared" si="2"/>
        <v>0.52374581939799358</v>
      </c>
      <c r="L164" s="68">
        <v>328.03200000000004</v>
      </c>
      <c r="M164" s="74">
        <v>328.03200000000004</v>
      </c>
      <c r="N164" s="74">
        <v>328.03200000000004</v>
      </c>
      <c r="O164" s="74">
        <v>328.03200000000004</v>
      </c>
      <c r="P164" s="74">
        <v>328.03200000000004</v>
      </c>
      <c r="Q164" s="74">
        <v>328.03200000000004</v>
      </c>
      <c r="R164" s="72" t="s">
        <v>303</v>
      </c>
      <c r="S164" s="72"/>
    </row>
    <row r="165" spans="1:19" s="62" customFormat="1" ht="120" customHeight="1" x14ac:dyDescent="0.25">
      <c r="A165" s="72"/>
      <c r="B165" s="72" t="s">
        <v>175</v>
      </c>
      <c r="C165" s="81">
        <v>56001091</v>
      </c>
      <c r="D165" s="72" t="s">
        <v>159</v>
      </c>
      <c r="E165" s="72" t="s">
        <v>456</v>
      </c>
      <c r="F165" s="73" t="s">
        <v>158</v>
      </c>
      <c r="G165" s="73">
        <v>12</v>
      </c>
      <c r="H165" s="61">
        <v>183.22</v>
      </c>
      <c r="I165" s="79">
        <v>0.2</v>
      </c>
      <c r="J165" s="61">
        <v>279.18400000000003</v>
      </c>
      <c r="K165" s="79">
        <f t="shared" si="2"/>
        <v>0.52376378124658896</v>
      </c>
      <c r="L165" s="68">
        <v>279.18400000000003</v>
      </c>
      <c r="M165" s="74">
        <v>279.18400000000003</v>
      </c>
      <c r="N165" s="74">
        <v>279.18400000000003</v>
      </c>
      <c r="O165" s="74">
        <v>279.18400000000003</v>
      </c>
      <c r="P165" s="74">
        <v>279.18400000000003</v>
      </c>
      <c r="Q165" s="74">
        <v>279.18400000000003</v>
      </c>
      <c r="R165" s="72" t="s">
        <v>187</v>
      </c>
      <c r="S165" s="72"/>
    </row>
    <row r="166" spans="1:19" s="62" customFormat="1" ht="120" customHeight="1" x14ac:dyDescent="0.25">
      <c r="A166" s="72"/>
      <c r="B166" s="72" t="s">
        <v>176</v>
      </c>
      <c r="C166" s="81">
        <v>56001702</v>
      </c>
      <c r="D166" s="72" t="s">
        <v>159</v>
      </c>
      <c r="E166" s="72" t="s">
        <v>456</v>
      </c>
      <c r="F166" s="73" t="s">
        <v>158</v>
      </c>
      <c r="G166" s="73">
        <v>25</v>
      </c>
      <c r="H166" s="61">
        <v>87.03</v>
      </c>
      <c r="I166" s="79">
        <v>0.2</v>
      </c>
      <c r="J166" s="61">
        <v>132.608</v>
      </c>
      <c r="K166" s="79">
        <f t="shared" si="2"/>
        <v>0.52370446972308393</v>
      </c>
      <c r="L166" s="68">
        <v>132.608</v>
      </c>
      <c r="M166" s="74">
        <v>132.608</v>
      </c>
      <c r="N166" s="74">
        <v>132.608</v>
      </c>
      <c r="O166" s="74">
        <v>132.608</v>
      </c>
      <c r="P166" s="74">
        <v>132.608</v>
      </c>
      <c r="Q166" s="74">
        <v>132.608</v>
      </c>
      <c r="R166" s="72" t="s">
        <v>161</v>
      </c>
      <c r="S166" s="72"/>
    </row>
    <row r="167" spans="1:19" s="62" customFormat="1" ht="120" customHeight="1" x14ac:dyDescent="0.25">
      <c r="A167" s="72"/>
      <c r="B167" s="72" t="s">
        <v>177</v>
      </c>
      <c r="C167" s="81">
        <v>56001703</v>
      </c>
      <c r="D167" s="72" t="s">
        <v>159</v>
      </c>
      <c r="E167" s="72" t="s">
        <v>456</v>
      </c>
      <c r="F167" s="73" t="s">
        <v>158</v>
      </c>
      <c r="G167" s="73">
        <v>20</v>
      </c>
      <c r="H167" s="61">
        <v>120.63000000000001</v>
      </c>
      <c r="I167" s="79">
        <v>0.2</v>
      </c>
      <c r="J167" s="61">
        <v>183.80799999999999</v>
      </c>
      <c r="K167" s="79">
        <f t="shared" si="2"/>
        <v>0.52373373124430067</v>
      </c>
      <c r="L167" s="68">
        <v>183.80799999999999</v>
      </c>
      <c r="M167" s="74">
        <v>183.80799999999999</v>
      </c>
      <c r="N167" s="74">
        <v>183.80799999999999</v>
      </c>
      <c r="O167" s="74">
        <v>183.80799999999999</v>
      </c>
      <c r="P167" s="74">
        <v>183.80799999999999</v>
      </c>
      <c r="Q167" s="74">
        <v>183.80799999999999</v>
      </c>
      <c r="R167" s="72" t="s">
        <v>161</v>
      </c>
      <c r="S167" s="72"/>
    </row>
    <row r="168" spans="1:19" s="62" customFormat="1" ht="120" customHeight="1" x14ac:dyDescent="0.25">
      <c r="A168" s="72"/>
      <c r="B168" s="72" t="s">
        <v>178</v>
      </c>
      <c r="C168" s="81">
        <v>56001704</v>
      </c>
      <c r="D168" s="72" t="s">
        <v>159</v>
      </c>
      <c r="E168" s="72" t="s">
        <v>456</v>
      </c>
      <c r="F168" s="73" t="s">
        <v>158</v>
      </c>
      <c r="G168" s="73">
        <v>12</v>
      </c>
      <c r="H168" s="61">
        <v>171.01</v>
      </c>
      <c r="I168" s="79">
        <v>0.2</v>
      </c>
      <c r="J168" s="61">
        <v>260.57600000000002</v>
      </c>
      <c r="K168" s="79">
        <f t="shared" si="2"/>
        <v>0.52374714928951538</v>
      </c>
      <c r="L168" s="68">
        <v>260.57600000000002</v>
      </c>
      <c r="M168" s="74">
        <v>260.57600000000002</v>
      </c>
      <c r="N168" s="74">
        <v>260.57600000000002</v>
      </c>
      <c r="O168" s="74">
        <v>260.57600000000002</v>
      </c>
      <c r="P168" s="74">
        <v>260.57600000000002</v>
      </c>
      <c r="Q168" s="74">
        <v>260.57600000000002</v>
      </c>
      <c r="R168" s="72" t="s">
        <v>161</v>
      </c>
      <c r="S168" s="72"/>
    </row>
    <row r="169" spans="1:19" s="62" customFormat="1" ht="120" customHeight="1" x14ac:dyDescent="0.25">
      <c r="A169" s="75"/>
      <c r="B169" s="80" t="s">
        <v>412</v>
      </c>
      <c r="C169" s="82">
        <v>86050001</v>
      </c>
      <c r="D169" s="75" t="s">
        <v>159</v>
      </c>
      <c r="E169" s="75" t="s">
        <v>457</v>
      </c>
      <c r="F169" s="76" t="s">
        <v>158</v>
      </c>
      <c r="G169" s="76">
        <v>12</v>
      </c>
      <c r="H169" s="85">
        <v>192.38</v>
      </c>
      <c r="I169" s="86">
        <v>0.2</v>
      </c>
      <c r="J169" s="85">
        <v>293.13600000000002</v>
      </c>
      <c r="K169" s="79">
        <f t="shared" si="2"/>
        <v>0.52373427591225719</v>
      </c>
      <c r="L169" s="77">
        <v>293.13600000000002</v>
      </c>
      <c r="M169" s="77">
        <v>293.13600000000002</v>
      </c>
      <c r="N169" s="78">
        <v>293.13600000000002</v>
      </c>
      <c r="O169" s="78">
        <v>293.13600000000002</v>
      </c>
      <c r="P169" s="77">
        <v>293.13600000000002</v>
      </c>
      <c r="Q169" s="77">
        <v>293.13600000000002</v>
      </c>
      <c r="R169" s="67" t="s">
        <v>187</v>
      </c>
      <c r="S169" s="75"/>
    </row>
    <row r="170" spans="1:19" s="62" customFormat="1" ht="120" customHeight="1" x14ac:dyDescent="0.25">
      <c r="A170" s="75"/>
      <c r="B170" s="80" t="s">
        <v>413</v>
      </c>
      <c r="C170" s="82">
        <v>86050003</v>
      </c>
      <c r="D170" s="75" t="s">
        <v>159</v>
      </c>
      <c r="E170" s="75" t="s">
        <v>457</v>
      </c>
      <c r="F170" s="76" t="s">
        <v>158</v>
      </c>
      <c r="G170" s="76">
        <v>12</v>
      </c>
      <c r="H170" s="85">
        <v>225.96</v>
      </c>
      <c r="I170" s="86">
        <v>0.2</v>
      </c>
      <c r="J170" s="85">
        <v>344.32</v>
      </c>
      <c r="K170" s="79">
        <f t="shared" si="2"/>
        <v>0.52380952380952372</v>
      </c>
      <c r="L170" s="77">
        <v>344.32</v>
      </c>
      <c r="M170" s="77">
        <v>344.32</v>
      </c>
      <c r="N170" s="78">
        <v>344.32</v>
      </c>
      <c r="O170" s="78">
        <v>344.32</v>
      </c>
      <c r="P170" s="77">
        <v>344.32</v>
      </c>
      <c r="Q170" s="77">
        <v>344.32</v>
      </c>
      <c r="R170" s="67" t="s">
        <v>187</v>
      </c>
      <c r="S170" s="75"/>
    </row>
    <row r="171" spans="1:19" s="62" customFormat="1" ht="120" customHeight="1" x14ac:dyDescent="0.25">
      <c r="A171" s="75"/>
      <c r="B171" s="80" t="s">
        <v>414</v>
      </c>
      <c r="C171" s="82">
        <v>86050005</v>
      </c>
      <c r="D171" s="75" t="s">
        <v>159</v>
      </c>
      <c r="E171" s="75" t="s">
        <v>457</v>
      </c>
      <c r="F171" s="76" t="s">
        <v>158</v>
      </c>
      <c r="G171" s="76">
        <v>12</v>
      </c>
      <c r="H171" s="85">
        <v>216.81</v>
      </c>
      <c r="I171" s="86">
        <v>0.2</v>
      </c>
      <c r="J171" s="85">
        <v>330.36799999999999</v>
      </c>
      <c r="K171" s="79">
        <f t="shared" si="2"/>
        <v>0.52376735390434015</v>
      </c>
      <c r="L171" s="77">
        <v>330.36799999999999</v>
      </c>
      <c r="M171" s="77">
        <v>330.36799999999999</v>
      </c>
      <c r="N171" s="78">
        <v>330.36799999999999</v>
      </c>
      <c r="O171" s="78">
        <v>330.36799999999999</v>
      </c>
      <c r="P171" s="77">
        <v>330.36799999999999</v>
      </c>
      <c r="Q171" s="77">
        <v>330.36799999999999</v>
      </c>
      <c r="R171" s="67" t="s">
        <v>187</v>
      </c>
      <c r="S171" s="75"/>
    </row>
    <row r="172" spans="1:19" s="62" customFormat="1" ht="120" customHeight="1" x14ac:dyDescent="0.25">
      <c r="A172" s="75"/>
      <c r="B172" s="80" t="s">
        <v>415</v>
      </c>
      <c r="C172" s="82">
        <v>86050007</v>
      </c>
      <c r="D172" s="75" t="s">
        <v>159</v>
      </c>
      <c r="E172" s="75" t="s">
        <v>457</v>
      </c>
      <c r="F172" s="76" t="s">
        <v>158</v>
      </c>
      <c r="G172" s="76">
        <v>12</v>
      </c>
      <c r="H172" s="85">
        <v>219.85999999999999</v>
      </c>
      <c r="I172" s="86">
        <v>0.2</v>
      </c>
      <c r="J172" s="85">
        <v>335.024</v>
      </c>
      <c r="K172" s="79">
        <f t="shared" si="2"/>
        <v>0.52380605840080063</v>
      </c>
      <c r="L172" s="77">
        <v>335.024</v>
      </c>
      <c r="M172" s="77">
        <v>335.024</v>
      </c>
      <c r="N172" s="78">
        <v>335.024</v>
      </c>
      <c r="O172" s="78">
        <v>335.024</v>
      </c>
      <c r="P172" s="77">
        <v>335.024</v>
      </c>
      <c r="Q172" s="77">
        <v>335.024</v>
      </c>
      <c r="R172" s="67" t="s">
        <v>161</v>
      </c>
      <c r="S172" s="75"/>
    </row>
    <row r="173" spans="1:19" s="62" customFormat="1" ht="120" customHeight="1" x14ac:dyDescent="0.25">
      <c r="A173" s="75"/>
      <c r="B173" s="80" t="s">
        <v>416</v>
      </c>
      <c r="C173" s="82">
        <v>86050011</v>
      </c>
      <c r="D173" s="75" t="s">
        <v>159</v>
      </c>
      <c r="E173" s="75" t="s">
        <v>457</v>
      </c>
      <c r="F173" s="76" t="s">
        <v>158</v>
      </c>
      <c r="G173" s="76">
        <v>12</v>
      </c>
      <c r="H173" s="85">
        <v>861.1</v>
      </c>
      <c r="I173" s="86">
        <v>0.2</v>
      </c>
      <c r="J173" s="85">
        <v>1312.1440000000002</v>
      </c>
      <c r="K173" s="79">
        <f t="shared" si="2"/>
        <v>0.52379979096504492</v>
      </c>
      <c r="L173" s="77">
        <v>1312.1440000000002</v>
      </c>
      <c r="M173" s="77">
        <v>1312.1440000000002</v>
      </c>
      <c r="N173" s="78">
        <v>1312.1440000000002</v>
      </c>
      <c r="O173" s="78">
        <v>1312.1440000000002</v>
      </c>
      <c r="P173" s="77">
        <v>1312.1440000000002</v>
      </c>
      <c r="Q173" s="77">
        <v>1312.1440000000002</v>
      </c>
      <c r="R173" s="67" t="s">
        <v>187</v>
      </c>
      <c r="S173" s="75"/>
    </row>
    <row r="174" spans="1:19" s="62" customFormat="1" ht="120" customHeight="1" x14ac:dyDescent="0.25">
      <c r="A174" s="75"/>
      <c r="B174" s="80" t="s">
        <v>417</v>
      </c>
      <c r="C174" s="82">
        <v>86050017</v>
      </c>
      <c r="D174" s="75" t="s">
        <v>159</v>
      </c>
      <c r="E174" s="75" t="s">
        <v>458</v>
      </c>
      <c r="F174" s="76" t="s">
        <v>158</v>
      </c>
      <c r="G174" s="76">
        <v>12</v>
      </c>
      <c r="H174" s="85">
        <v>271.77</v>
      </c>
      <c r="I174" s="86">
        <v>0.2</v>
      </c>
      <c r="J174" s="85">
        <v>414.11200000000002</v>
      </c>
      <c r="K174" s="79">
        <f t="shared" si="2"/>
        <v>0.52375906097067393</v>
      </c>
      <c r="L174" s="77">
        <v>414.11200000000002</v>
      </c>
      <c r="M174" s="77">
        <v>414.11200000000002</v>
      </c>
      <c r="N174" s="78">
        <v>414.11200000000002</v>
      </c>
      <c r="O174" s="78">
        <v>414.11200000000002</v>
      </c>
      <c r="P174" s="77">
        <v>414.11200000000002</v>
      </c>
      <c r="Q174" s="77">
        <v>414.11200000000002</v>
      </c>
      <c r="R174" s="67" t="s">
        <v>303</v>
      </c>
      <c r="S174" s="75"/>
    </row>
    <row r="175" spans="1:19" s="62" customFormat="1" ht="120" customHeight="1" x14ac:dyDescent="0.25">
      <c r="A175" s="75"/>
      <c r="B175" s="80" t="s">
        <v>418</v>
      </c>
      <c r="C175" s="82">
        <v>86050021</v>
      </c>
      <c r="D175" s="75" t="s">
        <v>159</v>
      </c>
      <c r="E175" s="75" t="s">
        <v>457</v>
      </c>
      <c r="F175" s="76" t="s">
        <v>158</v>
      </c>
      <c r="G175" s="76">
        <v>12</v>
      </c>
      <c r="H175" s="85">
        <v>225.96</v>
      </c>
      <c r="I175" s="86">
        <v>0.2</v>
      </c>
      <c r="J175" s="85">
        <v>344.32</v>
      </c>
      <c r="K175" s="79">
        <f t="shared" si="2"/>
        <v>0.52380952380952372</v>
      </c>
      <c r="L175" s="77">
        <v>344.32</v>
      </c>
      <c r="M175" s="77">
        <v>344.32</v>
      </c>
      <c r="N175" s="78">
        <v>344.32</v>
      </c>
      <c r="O175" s="78">
        <v>344.32</v>
      </c>
      <c r="P175" s="77">
        <v>344.32</v>
      </c>
      <c r="Q175" s="77">
        <v>344.32</v>
      </c>
      <c r="R175" s="67" t="s">
        <v>187</v>
      </c>
      <c r="S175" s="75"/>
    </row>
    <row r="176" spans="1:19" s="62" customFormat="1" ht="120" customHeight="1" x14ac:dyDescent="0.25">
      <c r="A176" s="75"/>
      <c r="B176" s="80" t="s">
        <v>419</v>
      </c>
      <c r="C176" s="82">
        <v>86050022</v>
      </c>
      <c r="D176" s="75" t="s">
        <v>159</v>
      </c>
      <c r="E176" s="75" t="s">
        <v>457</v>
      </c>
      <c r="F176" s="76" t="s">
        <v>158</v>
      </c>
      <c r="G176" s="76">
        <v>12</v>
      </c>
      <c r="H176" s="85">
        <v>189.32999999999998</v>
      </c>
      <c r="I176" s="86">
        <v>0.2</v>
      </c>
      <c r="J176" s="85">
        <v>288.49600000000004</v>
      </c>
      <c r="K176" s="79">
        <f t="shared" si="2"/>
        <v>0.52377330586806137</v>
      </c>
      <c r="L176" s="77">
        <v>288.49600000000004</v>
      </c>
      <c r="M176" s="77">
        <v>288.49600000000004</v>
      </c>
      <c r="N176" s="78">
        <v>288.49600000000004</v>
      </c>
      <c r="O176" s="78">
        <v>288.49600000000004</v>
      </c>
      <c r="P176" s="77">
        <v>288.49600000000004</v>
      </c>
      <c r="Q176" s="77">
        <v>288.49600000000004</v>
      </c>
      <c r="R176" s="67" t="s">
        <v>303</v>
      </c>
      <c r="S176" s="75"/>
    </row>
    <row r="177" spans="1:21" s="62" customFormat="1" ht="120" customHeight="1" x14ac:dyDescent="0.25">
      <c r="A177" s="75"/>
      <c r="B177" s="80" t="s">
        <v>420</v>
      </c>
      <c r="C177" s="82">
        <v>86050023</v>
      </c>
      <c r="D177" s="75" t="s">
        <v>159</v>
      </c>
      <c r="E177" s="75" t="s">
        <v>457</v>
      </c>
      <c r="F177" s="76" t="s">
        <v>158</v>
      </c>
      <c r="G177" s="76">
        <v>12</v>
      </c>
      <c r="H177" s="85">
        <v>267.19</v>
      </c>
      <c r="I177" s="86">
        <v>0.2</v>
      </c>
      <c r="J177" s="85">
        <v>407.13600000000002</v>
      </c>
      <c r="K177" s="79">
        <f t="shared" si="2"/>
        <v>0.5237696021557694</v>
      </c>
      <c r="L177" s="77">
        <v>407.13600000000002</v>
      </c>
      <c r="M177" s="77">
        <v>407.13600000000002</v>
      </c>
      <c r="N177" s="78">
        <v>407.13600000000002</v>
      </c>
      <c r="O177" s="78">
        <v>407.13600000000002</v>
      </c>
      <c r="P177" s="77">
        <v>407.13600000000002</v>
      </c>
      <c r="Q177" s="77">
        <v>407.13600000000002</v>
      </c>
      <c r="R177" s="67" t="s">
        <v>187</v>
      </c>
      <c r="S177" s="75"/>
    </row>
    <row r="178" spans="1:21" s="62" customFormat="1" ht="120" customHeight="1" x14ac:dyDescent="0.25">
      <c r="A178" s="75"/>
      <c r="B178" s="80" t="s">
        <v>429</v>
      </c>
      <c r="C178" s="82">
        <v>86050028</v>
      </c>
      <c r="D178" s="75" t="s">
        <v>159</v>
      </c>
      <c r="E178" s="75" t="s">
        <v>457</v>
      </c>
      <c r="F178" s="76" t="s">
        <v>158</v>
      </c>
      <c r="G178" s="76">
        <v>12</v>
      </c>
      <c r="H178" s="85">
        <v>213.75</v>
      </c>
      <c r="I178" s="86">
        <v>0.2</v>
      </c>
      <c r="J178" s="85">
        <v>325.71199999999999</v>
      </c>
      <c r="K178" s="79">
        <f t="shared" si="2"/>
        <v>0.5237988304093566</v>
      </c>
      <c r="L178" s="77">
        <v>325.71199999999999</v>
      </c>
      <c r="M178" s="77">
        <v>325.71199999999999</v>
      </c>
      <c r="N178" s="78">
        <v>325.71199999999999</v>
      </c>
      <c r="O178" s="78">
        <v>325.71199999999999</v>
      </c>
      <c r="P178" s="77">
        <v>325.71199999999999</v>
      </c>
      <c r="Q178" s="77">
        <v>325.71199999999999</v>
      </c>
      <c r="R178" s="67" t="s">
        <v>303</v>
      </c>
      <c r="S178" s="75"/>
    </row>
    <row r="179" spans="1:21" s="63" customFormat="1" ht="120" customHeight="1" x14ac:dyDescent="0.25">
      <c r="A179" s="75"/>
      <c r="B179" s="80" t="s">
        <v>421</v>
      </c>
      <c r="C179" s="82">
        <v>86050029</v>
      </c>
      <c r="D179" s="75" t="s">
        <v>159</v>
      </c>
      <c r="E179" s="75" t="s">
        <v>457</v>
      </c>
      <c r="F179" s="76" t="s">
        <v>158</v>
      </c>
      <c r="G179" s="76">
        <v>12</v>
      </c>
      <c r="H179" s="85">
        <v>247.34</v>
      </c>
      <c r="I179" s="86">
        <v>0.2</v>
      </c>
      <c r="J179" s="85">
        <v>376.89600000000002</v>
      </c>
      <c r="K179" s="79">
        <f t="shared" si="2"/>
        <v>0.52379720223174586</v>
      </c>
      <c r="L179" s="77">
        <v>376.89600000000002</v>
      </c>
      <c r="M179" s="77">
        <v>376.89600000000002</v>
      </c>
      <c r="N179" s="78">
        <v>376.89600000000002</v>
      </c>
      <c r="O179" s="78">
        <v>376.89600000000002</v>
      </c>
      <c r="P179" s="77">
        <v>376.89600000000002</v>
      </c>
      <c r="Q179" s="77">
        <v>376.89600000000002</v>
      </c>
      <c r="R179" s="67" t="s">
        <v>303</v>
      </c>
      <c r="S179" s="75"/>
    </row>
    <row r="180" spans="1:21" s="62" customFormat="1" ht="120" customHeight="1" x14ac:dyDescent="0.25">
      <c r="A180" s="75"/>
      <c r="B180" s="80" t="s">
        <v>422</v>
      </c>
      <c r="C180" s="82">
        <v>86050035</v>
      </c>
      <c r="D180" s="75" t="s">
        <v>159</v>
      </c>
      <c r="E180" s="75" t="s">
        <v>457</v>
      </c>
      <c r="F180" s="76" t="s">
        <v>158</v>
      </c>
      <c r="G180" s="76">
        <v>12</v>
      </c>
      <c r="H180" s="85">
        <v>477.88</v>
      </c>
      <c r="I180" s="86">
        <v>0.2</v>
      </c>
      <c r="J180" s="85">
        <v>728.19200000000001</v>
      </c>
      <c r="K180" s="79">
        <f t="shared" si="2"/>
        <v>0.52379676906336314</v>
      </c>
      <c r="L180" s="77">
        <v>728.19200000000001</v>
      </c>
      <c r="M180" s="77">
        <v>728.19200000000001</v>
      </c>
      <c r="N180" s="78">
        <v>728.19200000000001</v>
      </c>
      <c r="O180" s="78">
        <v>728.19200000000001</v>
      </c>
      <c r="P180" s="77">
        <v>728.19200000000001</v>
      </c>
      <c r="Q180" s="77">
        <v>728.19200000000001</v>
      </c>
      <c r="R180" s="67" t="s">
        <v>161</v>
      </c>
      <c r="S180" s="75"/>
      <c r="T180" s="65"/>
      <c r="U180" s="65"/>
    </row>
    <row r="181" spans="1:21" s="62" customFormat="1" ht="120" customHeight="1" x14ac:dyDescent="0.25">
      <c r="A181" s="75"/>
      <c r="B181" s="80" t="s">
        <v>423</v>
      </c>
      <c r="C181" s="76">
        <v>86050082</v>
      </c>
      <c r="D181" s="75" t="s">
        <v>159</v>
      </c>
      <c r="E181" s="75" t="s">
        <v>458</v>
      </c>
      <c r="F181" s="76" t="s">
        <v>158</v>
      </c>
      <c r="G181" s="76">
        <v>12</v>
      </c>
      <c r="H181" s="85">
        <v>299.24</v>
      </c>
      <c r="I181" s="86">
        <v>0.2</v>
      </c>
      <c r="J181" s="85">
        <v>455.98400000000004</v>
      </c>
      <c r="K181" s="79">
        <f t="shared" si="2"/>
        <v>0.5238069776767813</v>
      </c>
      <c r="L181" s="77">
        <v>455.98400000000004</v>
      </c>
      <c r="M181" s="77">
        <v>455.98400000000004</v>
      </c>
      <c r="N181" s="78">
        <v>455.98400000000004</v>
      </c>
      <c r="O181" s="78">
        <v>455.98400000000004</v>
      </c>
      <c r="P181" s="77">
        <v>455.98400000000004</v>
      </c>
      <c r="Q181" s="77">
        <v>455.98400000000004</v>
      </c>
      <c r="R181" s="67" t="s">
        <v>303</v>
      </c>
      <c r="S181" s="75"/>
      <c r="T181" s="65"/>
      <c r="U181" s="65"/>
    </row>
    <row r="182" spans="1:21" s="66" customFormat="1" ht="120" customHeight="1" x14ac:dyDescent="0.25">
      <c r="A182" s="75"/>
      <c r="B182" s="80" t="s">
        <v>424</v>
      </c>
      <c r="C182" s="76">
        <v>86050091</v>
      </c>
      <c r="D182" s="75" t="s">
        <v>159</v>
      </c>
      <c r="E182" s="75" t="s">
        <v>457</v>
      </c>
      <c r="F182" s="76" t="s">
        <v>158</v>
      </c>
      <c r="G182" s="76">
        <v>12</v>
      </c>
      <c r="H182" s="85">
        <v>283.98</v>
      </c>
      <c r="I182" s="86">
        <v>0.2</v>
      </c>
      <c r="J182" s="85">
        <v>432.72</v>
      </c>
      <c r="K182" s="79">
        <f t="shared" si="2"/>
        <v>0.52376927952672725</v>
      </c>
      <c r="L182" s="77">
        <v>432.72</v>
      </c>
      <c r="M182" s="77">
        <v>432.72</v>
      </c>
      <c r="N182" s="78">
        <v>432.72</v>
      </c>
      <c r="O182" s="78">
        <v>432.72</v>
      </c>
      <c r="P182" s="77">
        <v>432.72</v>
      </c>
      <c r="Q182" s="77">
        <v>432.72</v>
      </c>
      <c r="R182" s="67" t="s">
        <v>187</v>
      </c>
      <c r="S182" s="75"/>
    </row>
    <row r="183" spans="1:21" s="66" customFormat="1" ht="120" customHeight="1" x14ac:dyDescent="0.25">
      <c r="A183" s="75"/>
      <c r="B183" s="80" t="s">
        <v>430</v>
      </c>
      <c r="C183" s="76">
        <v>86050702</v>
      </c>
      <c r="D183" s="75" t="s">
        <v>159</v>
      </c>
      <c r="E183" s="75" t="s">
        <v>459</v>
      </c>
      <c r="F183" s="76" t="s">
        <v>158</v>
      </c>
      <c r="G183" s="76">
        <v>25</v>
      </c>
      <c r="H183" s="85">
        <v>152.69</v>
      </c>
      <c r="I183" s="86">
        <v>0.2</v>
      </c>
      <c r="J183" s="85">
        <v>232.65600000000001</v>
      </c>
      <c r="K183" s="79">
        <f t="shared" si="2"/>
        <v>0.52371471609142706</v>
      </c>
      <c r="L183" s="77">
        <v>232.65600000000001</v>
      </c>
      <c r="M183" s="77">
        <v>232.65600000000001</v>
      </c>
      <c r="N183" s="78">
        <v>232.65600000000001</v>
      </c>
      <c r="O183" s="78">
        <v>232.65600000000001</v>
      </c>
      <c r="P183" s="77">
        <v>232.65600000000001</v>
      </c>
      <c r="Q183" s="77">
        <v>232.65600000000001</v>
      </c>
      <c r="R183" s="67" t="s">
        <v>161</v>
      </c>
      <c r="S183" s="75"/>
    </row>
    <row r="184" spans="1:21" s="66" customFormat="1" ht="120" customHeight="1" x14ac:dyDescent="0.25">
      <c r="A184" s="75"/>
      <c r="B184" s="80" t="s">
        <v>431</v>
      </c>
      <c r="C184" s="76">
        <v>86050703</v>
      </c>
      <c r="D184" s="75" t="s">
        <v>159</v>
      </c>
      <c r="E184" s="75" t="s">
        <v>460</v>
      </c>
      <c r="F184" s="76" t="s">
        <v>158</v>
      </c>
      <c r="G184" s="76">
        <v>20</v>
      </c>
      <c r="H184" s="85">
        <v>204.6</v>
      </c>
      <c r="I184" s="86">
        <v>0.2</v>
      </c>
      <c r="J184" s="85">
        <v>311.76</v>
      </c>
      <c r="K184" s="79">
        <f t="shared" si="2"/>
        <v>0.52375366568914949</v>
      </c>
      <c r="L184" s="77">
        <v>311.76</v>
      </c>
      <c r="M184" s="77">
        <v>311.76</v>
      </c>
      <c r="N184" s="78">
        <v>311.76</v>
      </c>
      <c r="O184" s="78">
        <v>311.76</v>
      </c>
      <c r="P184" s="77">
        <v>311.76</v>
      </c>
      <c r="Q184" s="77">
        <v>311.76</v>
      </c>
      <c r="R184" s="67" t="s">
        <v>161</v>
      </c>
      <c r="S184" s="75"/>
    </row>
    <row r="185" spans="1:21" s="66" customFormat="1" ht="120" customHeight="1" x14ac:dyDescent="0.25">
      <c r="A185" s="75"/>
      <c r="B185" s="80" t="s">
        <v>432</v>
      </c>
      <c r="C185" s="76">
        <v>86050704</v>
      </c>
      <c r="D185" s="75" t="s">
        <v>159</v>
      </c>
      <c r="E185" s="75" t="s">
        <v>461</v>
      </c>
      <c r="F185" s="75" t="s">
        <v>158</v>
      </c>
      <c r="G185" s="76">
        <v>12</v>
      </c>
      <c r="H185" s="85">
        <v>282.45</v>
      </c>
      <c r="I185" s="86">
        <v>0.2</v>
      </c>
      <c r="J185" s="85">
        <v>430.40000000000003</v>
      </c>
      <c r="K185" s="79">
        <f t="shared" si="2"/>
        <v>0.52380952380952395</v>
      </c>
      <c r="L185" s="77">
        <v>430.40000000000003</v>
      </c>
      <c r="M185" s="77">
        <v>430.40000000000003</v>
      </c>
      <c r="N185" s="78">
        <v>430.40000000000003</v>
      </c>
      <c r="O185" s="78">
        <v>430.40000000000003</v>
      </c>
      <c r="P185" s="77">
        <v>430.40000000000003</v>
      </c>
      <c r="Q185" s="77">
        <v>430.40000000000003</v>
      </c>
      <c r="R185" s="67" t="s">
        <v>161</v>
      </c>
      <c r="S185" s="75"/>
    </row>
    <row r="186" spans="1:21" s="66" customFormat="1" ht="120" customHeight="1" x14ac:dyDescent="0.25">
      <c r="A186" s="75"/>
      <c r="B186" s="80" t="s">
        <v>433</v>
      </c>
      <c r="C186" s="76">
        <v>86054001</v>
      </c>
      <c r="D186" s="75" t="s">
        <v>159</v>
      </c>
      <c r="E186" s="75" t="s">
        <v>457</v>
      </c>
      <c r="F186" s="76" t="s">
        <v>158</v>
      </c>
      <c r="G186" s="76">
        <v>12</v>
      </c>
      <c r="H186" s="85">
        <v>192.38</v>
      </c>
      <c r="I186" s="86">
        <v>0.2</v>
      </c>
      <c r="J186" s="85">
        <v>293.13600000000002</v>
      </c>
      <c r="K186" s="79">
        <f t="shared" si="2"/>
        <v>0.52373427591225719</v>
      </c>
      <c r="L186" s="77">
        <v>293.13600000000002</v>
      </c>
      <c r="M186" s="77">
        <v>293.13600000000002</v>
      </c>
      <c r="N186" s="78">
        <v>293.13600000000002</v>
      </c>
      <c r="O186" s="78">
        <v>293.13600000000002</v>
      </c>
      <c r="P186" s="77">
        <v>293.13600000000002</v>
      </c>
      <c r="Q186" s="77">
        <v>293.13600000000002</v>
      </c>
      <c r="R186" s="67" t="s">
        <v>187</v>
      </c>
      <c r="S186" s="75"/>
    </row>
    <row r="187" spans="1:21" s="66" customFormat="1" ht="120" customHeight="1" x14ac:dyDescent="0.25">
      <c r="A187" s="75"/>
      <c r="B187" s="80" t="s">
        <v>425</v>
      </c>
      <c r="C187" s="76">
        <v>86054003</v>
      </c>
      <c r="D187" s="75" t="s">
        <v>159</v>
      </c>
      <c r="E187" s="75" t="s">
        <v>457</v>
      </c>
      <c r="F187" s="76" t="s">
        <v>158</v>
      </c>
      <c r="G187" s="76">
        <v>12</v>
      </c>
      <c r="H187" s="85">
        <v>225.96</v>
      </c>
      <c r="I187" s="86">
        <v>0.2</v>
      </c>
      <c r="J187" s="85">
        <v>344.32</v>
      </c>
      <c r="K187" s="79">
        <f t="shared" si="2"/>
        <v>0.52380952380952372</v>
      </c>
      <c r="L187" s="77">
        <v>344.32</v>
      </c>
      <c r="M187" s="77">
        <v>344.32</v>
      </c>
      <c r="N187" s="78">
        <v>344.32</v>
      </c>
      <c r="O187" s="78">
        <v>344.32</v>
      </c>
      <c r="P187" s="77">
        <v>344.32</v>
      </c>
      <c r="Q187" s="77">
        <v>344.32</v>
      </c>
      <c r="R187" s="67" t="s">
        <v>187</v>
      </c>
      <c r="S187" s="75"/>
    </row>
    <row r="188" spans="1:21" s="66" customFormat="1" ht="120" customHeight="1" x14ac:dyDescent="0.25">
      <c r="A188" s="75"/>
      <c r="B188" s="80" t="s">
        <v>426</v>
      </c>
      <c r="C188" s="76">
        <v>86054005</v>
      </c>
      <c r="D188" s="75" t="s">
        <v>159</v>
      </c>
      <c r="E188" s="75" t="s">
        <v>457</v>
      </c>
      <c r="F188" s="76" t="s">
        <v>158</v>
      </c>
      <c r="G188" s="76">
        <v>12</v>
      </c>
      <c r="H188" s="85">
        <v>216.81</v>
      </c>
      <c r="I188" s="86">
        <v>0.2</v>
      </c>
      <c r="J188" s="85">
        <v>330.36799999999999</v>
      </c>
      <c r="K188" s="79">
        <f t="shared" si="2"/>
        <v>0.52376735390434015</v>
      </c>
      <c r="L188" s="77">
        <v>330.36799999999999</v>
      </c>
      <c r="M188" s="77">
        <v>330.36799999999999</v>
      </c>
      <c r="N188" s="78">
        <v>330.36799999999999</v>
      </c>
      <c r="O188" s="78">
        <v>330.36799999999999</v>
      </c>
      <c r="P188" s="77">
        <v>330.36799999999999</v>
      </c>
      <c r="Q188" s="77">
        <v>330.36799999999999</v>
      </c>
      <c r="R188" s="67" t="s">
        <v>187</v>
      </c>
      <c r="S188" s="75"/>
    </row>
    <row r="189" spans="1:21" s="66" customFormat="1" ht="120" customHeight="1" x14ac:dyDescent="0.25">
      <c r="A189" s="75"/>
      <c r="B189" s="80" t="s">
        <v>427</v>
      </c>
      <c r="C189" s="76">
        <v>86054007</v>
      </c>
      <c r="D189" s="75" t="s">
        <v>159</v>
      </c>
      <c r="E189" s="75" t="s">
        <v>457</v>
      </c>
      <c r="F189" s="76" t="s">
        <v>158</v>
      </c>
      <c r="G189" s="76">
        <v>12</v>
      </c>
      <c r="H189" s="85">
        <v>219.85999999999999</v>
      </c>
      <c r="I189" s="86">
        <v>0.2</v>
      </c>
      <c r="J189" s="85">
        <v>335.024</v>
      </c>
      <c r="K189" s="79">
        <f t="shared" si="2"/>
        <v>0.52380605840080063</v>
      </c>
      <c r="L189" s="77">
        <v>335.024</v>
      </c>
      <c r="M189" s="77">
        <v>335.024</v>
      </c>
      <c r="N189" s="78">
        <v>335.024</v>
      </c>
      <c r="O189" s="78">
        <v>335.024</v>
      </c>
      <c r="P189" s="77">
        <v>335.024</v>
      </c>
      <c r="Q189" s="77">
        <v>335.024</v>
      </c>
      <c r="R189" s="67" t="s">
        <v>161</v>
      </c>
      <c r="S189" s="75"/>
    </row>
    <row r="190" spans="1:21" s="66" customFormat="1" ht="120" customHeight="1" x14ac:dyDescent="0.25">
      <c r="A190" s="75"/>
      <c r="B190" s="80" t="s">
        <v>428</v>
      </c>
      <c r="C190" s="76">
        <v>86054011</v>
      </c>
      <c r="D190" s="75" t="s">
        <v>159</v>
      </c>
      <c r="E190" s="75" t="s">
        <v>457</v>
      </c>
      <c r="F190" s="76" t="s">
        <v>158</v>
      </c>
      <c r="G190" s="76">
        <v>12</v>
      </c>
      <c r="H190" s="85">
        <v>861.1</v>
      </c>
      <c r="I190" s="86">
        <v>0.2</v>
      </c>
      <c r="J190" s="85">
        <v>1312.1440000000002</v>
      </c>
      <c r="K190" s="79">
        <f t="shared" si="2"/>
        <v>0.52379979096504492</v>
      </c>
      <c r="L190" s="77">
        <v>1312.1440000000002</v>
      </c>
      <c r="M190" s="77">
        <v>1312.1440000000002</v>
      </c>
      <c r="N190" s="78">
        <v>1312.1440000000002</v>
      </c>
      <c r="O190" s="78">
        <v>1312.1440000000002</v>
      </c>
      <c r="P190" s="77">
        <v>1312.1440000000002</v>
      </c>
      <c r="Q190" s="77">
        <v>1312.1440000000002</v>
      </c>
      <c r="R190" s="67" t="s">
        <v>187</v>
      </c>
      <c r="S190" s="75"/>
    </row>
    <row r="191" spans="1:21" s="66" customFormat="1" ht="120" customHeight="1" x14ac:dyDescent="0.25">
      <c r="A191" s="75"/>
      <c r="B191" s="80" t="s">
        <v>434</v>
      </c>
      <c r="C191" s="76">
        <v>86054017</v>
      </c>
      <c r="D191" s="75" t="s">
        <v>159</v>
      </c>
      <c r="E191" s="75" t="s">
        <v>458</v>
      </c>
      <c r="F191" s="76" t="s">
        <v>158</v>
      </c>
      <c r="G191" s="76">
        <v>12</v>
      </c>
      <c r="H191" s="85">
        <v>271.77</v>
      </c>
      <c r="I191" s="86">
        <v>0.2</v>
      </c>
      <c r="J191" s="85">
        <v>414.11200000000002</v>
      </c>
      <c r="K191" s="79">
        <f t="shared" si="2"/>
        <v>0.52375906097067393</v>
      </c>
      <c r="L191" s="77">
        <v>414.11200000000002</v>
      </c>
      <c r="M191" s="77">
        <v>414.11200000000002</v>
      </c>
      <c r="N191" s="78">
        <v>414.11200000000002</v>
      </c>
      <c r="O191" s="78">
        <v>414.11200000000002</v>
      </c>
      <c r="P191" s="77">
        <v>414.11200000000002</v>
      </c>
      <c r="Q191" s="77">
        <v>414.11200000000002</v>
      </c>
      <c r="R191" s="67" t="s">
        <v>303</v>
      </c>
      <c r="S191" s="75"/>
    </row>
    <row r="192" spans="1:21" s="66" customFormat="1" ht="120" customHeight="1" x14ac:dyDescent="0.25">
      <c r="A192" s="75"/>
      <c r="B192" s="80" t="s">
        <v>435</v>
      </c>
      <c r="C192" s="76">
        <v>86054021</v>
      </c>
      <c r="D192" s="75" t="s">
        <v>159</v>
      </c>
      <c r="E192" s="75" t="s">
        <v>457</v>
      </c>
      <c r="F192" s="76" t="s">
        <v>158</v>
      </c>
      <c r="G192" s="76">
        <v>12</v>
      </c>
      <c r="H192" s="85">
        <v>225.96</v>
      </c>
      <c r="I192" s="86">
        <v>0.2</v>
      </c>
      <c r="J192" s="85">
        <v>344.32</v>
      </c>
      <c r="K192" s="79">
        <f t="shared" si="2"/>
        <v>0.52380952380952372</v>
      </c>
      <c r="L192" s="77">
        <v>344.32</v>
      </c>
      <c r="M192" s="77">
        <v>344.32</v>
      </c>
      <c r="N192" s="78">
        <v>344.32</v>
      </c>
      <c r="O192" s="78">
        <v>344.32</v>
      </c>
      <c r="P192" s="77">
        <v>344.32</v>
      </c>
      <c r="Q192" s="77">
        <v>344.32</v>
      </c>
      <c r="R192" s="67" t="s">
        <v>187</v>
      </c>
      <c r="S192" s="75"/>
    </row>
    <row r="193" spans="1:19" s="66" customFormat="1" ht="120" customHeight="1" x14ac:dyDescent="0.25">
      <c r="A193" s="75"/>
      <c r="B193" s="80" t="s">
        <v>436</v>
      </c>
      <c r="C193" s="76">
        <v>86054022</v>
      </c>
      <c r="D193" s="75" t="s">
        <v>159</v>
      </c>
      <c r="E193" s="75" t="s">
        <v>457</v>
      </c>
      <c r="F193" s="76" t="s">
        <v>158</v>
      </c>
      <c r="G193" s="76">
        <v>12</v>
      </c>
      <c r="H193" s="85">
        <v>189.32999999999998</v>
      </c>
      <c r="I193" s="86">
        <v>0.2</v>
      </c>
      <c r="J193" s="85">
        <v>288.49600000000004</v>
      </c>
      <c r="K193" s="79">
        <f t="shared" si="2"/>
        <v>0.52377330586806137</v>
      </c>
      <c r="L193" s="77">
        <v>288.49600000000004</v>
      </c>
      <c r="M193" s="77">
        <v>288.49600000000004</v>
      </c>
      <c r="N193" s="78">
        <v>288.49600000000004</v>
      </c>
      <c r="O193" s="78">
        <v>288.49600000000004</v>
      </c>
      <c r="P193" s="77">
        <v>288.49600000000004</v>
      </c>
      <c r="Q193" s="77">
        <v>288.49600000000004</v>
      </c>
      <c r="R193" s="67" t="s">
        <v>303</v>
      </c>
      <c r="S193" s="75"/>
    </row>
    <row r="194" spans="1:19" s="66" customFormat="1" ht="120" customHeight="1" x14ac:dyDescent="0.25">
      <c r="A194" s="75"/>
      <c r="B194" s="80" t="s">
        <v>437</v>
      </c>
      <c r="C194" s="76">
        <v>86054023</v>
      </c>
      <c r="D194" s="75" t="s">
        <v>159</v>
      </c>
      <c r="E194" s="75" t="s">
        <v>457</v>
      </c>
      <c r="F194" s="76" t="s">
        <v>158</v>
      </c>
      <c r="G194" s="76">
        <v>12</v>
      </c>
      <c r="H194" s="85">
        <v>267.19</v>
      </c>
      <c r="I194" s="86">
        <v>0.2</v>
      </c>
      <c r="J194" s="85">
        <v>407.13600000000002</v>
      </c>
      <c r="K194" s="79">
        <f t="shared" si="2"/>
        <v>0.5237696021557694</v>
      </c>
      <c r="L194" s="77">
        <v>407.13600000000002</v>
      </c>
      <c r="M194" s="77">
        <v>407.13600000000002</v>
      </c>
      <c r="N194" s="78">
        <v>407.13600000000002</v>
      </c>
      <c r="O194" s="78">
        <v>407.13600000000002</v>
      </c>
      <c r="P194" s="77">
        <v>407.13600000000002</v>
      </c>
      <c r="Q194" s="77">
        <v>407.13600000000002</v>
      </c>
      <c r="R194" s="67" t="s">
        <v>187</v>
      </c>
      <c r="S194" s="75"/>
    </row>
    <row r="195" spans="1:19" s="66" customFormat="1" ht="120" customHeight="1" x14ac:dyDescent="0.25">
      <c r="A195" s="75"/>
      <c r="B195" s="80" t="s">
        <v>438</v>
      </c>
      <c r="C195" s="76">
        <v>86054028</v>
      </c>
      <c r="D195" s="75" t="s">
        <v>159</v>
      </c>
      <c r="E195" s="75" t="s">
        <v>457</v>
      </c>
      <c r="F195" s="76" t="s">
        <v>158</v>
      </c>
      <c r="G195" s="76">
        <v>12</v>
      </c>
      <c r="H195" s="85">
        <v>213.75</v>
      </c>
      <c r="I195" s="86">
        <v>0.2</v>
      </c>
      <c r="J195" s="85">
        <v>325.71199999999999</v>
      </c>
      <c r="K195" s="79">
        <f t="shared" si="2"/>
        <v>0.5237988304093566</v>
      </c>
      <c r="L195" s="77">
        <v>325.71199999999999</v>
      </c>
      <c r="M195" s="77">
        <v>325.71199999999999</v>
      </c>
      <c r="N195" s="78">
        <v>325.71199999999999</v>
      </c>
      <c r="O195" s="78">
        <v>325.71199999999999</v>
      </c>
      <c r="P195" s="77">
        <v>325.71199999999999</v>
      </c>
      <c r="Q195" s="77">
        <v>325.71199999999999</v>
      </c>
      <c r="R195" s="67" t="s">
        <v>303</v>
      </c>
      <c r="S195" s="75"/>
    </row>
    <row r="196" spans="1:19" s="63" customFormat="1" ht="120" customHeight="1" x14ac:dyDescent="0.25">
      <c r="A196" s="75"/>
      <c r="B196" s="80" t="s">
        <v>439</v>
      </c>
      <c r="C196" s="76">
        <v>86054029</v>
      </c>
      <c r="D196" s="75" t="s">
        <v>159</v>
      </c>
      <c r="E196" s="75" t="s">
        <v>457</v>
      </c>
      <c r="F196" s="76" t="s">
        <v>158</v>
      </c>
      <c r="G196" s="76">
        <v>12</v>
      </c>
      <c r="H196" s="85">
        <v>247.34</v>
      </c>
      <c r="I196" s="86">
        <v>0.2</v>
      </c>
      <c r="J196" s="85">
        <v>376.89600000000002</v>
      </c>
      <c r="K196" s="79">
        <f t="shared" si="2"/>
        <v>0.52379720223174586</v>
      </c>
      <c r="L196" s="77">
        <v>376.89600000000002</v>
      </c>
      <c r="M196" s="77">
        <v>376.89600000000002</v>
      </c>
      <c r="N196" s="78">
        <v>376.89600000000002</v>
      </c>
      <c r="O196" s="78">
        <v>376.89600000000002</v>
      </c>
      <c r="P196" s="77">
        <v>376.89600000000002</v>
      </c>
      <c r="Q196" s="77">
        <v>376.89600000000002</v>
      </c>
      <c r="R196" s="67" t="s">
        <v>303</v>
      </c>
      <c r="S196" s="75"/>
    </row>
    <row r="197" spans="1:19" s="63" customFormat="1" ht="120" customHeight="1" x14ac:dyDescent="0.25">
      <c r="A197" s="75"/>
      <c r="B197" s="80" t="s">
        <v>440</v>
      </c>
      <c r="C197" s="76">
        <v>86054035</v>
      </c>
      <c r="D197" s="75" t="s">
        <v>159</v>
      </c>
      <c r="E197" s="75" t="s">
        <v>457</v>
      </c>
      <c r="F197" s="76" t="s">
        <v>158</v>
      </c>
      <c r="G197" s="76">
        <v>12</v>
      </c>
      <c r="H197" s="85">
        <v>477.88</v>
      </c>
      <c r="I197" s="86">
        <v>0.2</v>
      </c>
      <c r="J197" s="85">
        <v>728.19200000000001</v>
      </c>
      <c r="K197" s="79">
        <f t="shared" si="2"/>
        <v>0.52379676906336314</v>
      </c>
      <c r="L197" s="77">
        <v>728.19200000000001</v>
      </c>
      <c r="M197" s="77">
        <v>728.19200000000001</v>
      </c>
      <c r="N197" s="78">
        <v>728.19200000000001</v>
      </c>
      <c r="O197" s="78">
        <v>728.19200000000001</v>
      </c>
      <c r="P197" s="77">
        <v>728.19200000000001</v>
      </c>
      <c r="Q197" s="77">
        <v>728.19200000000001</v>
      </c>
      <c r="R197" s="67" t="s">
        <v>161</v>
      </c>
      <c r="S197" s="75"/>
    </row>
    <row r="198" spans="1:19" s="63" customFormat="1" ht="120" customHeight="1" x14ac:dyDescent="0.25">
      <c r="A198" s="75"/>
      <c r="B198" s="80" t="s">
        <v>441</v>
      </c>
      <c r="C198" s="76">
        <v>86054082</v>
      </c>
      <c r="D198" s="75" t="s">
        <v>159</v>
      </c>
      <c r="E198" s="75" t="s">
        <v>458</v>
      </c>
      <c r="F198" s="76" t="s">
        <v>158</v>
      </c>
      <c r="G198" s="76">
        <v>12</v>
      </c>
      <c r="H198" s="85">
        <v>299.24</v>
      </c>
      <c r="I198" s="86">
        <v>0.2</v>
      </c>
      <c r="J198" s="85">
        <v>455.98400000000004</v>
      </c>
      <c r="K198" s="79">
        <f t="shared" si="2"/>
        <v>0.5238069776767813</v>
      </c>
      <c r="L198" s="77">
        <v>455.98400000000004</v>
      </c>
      <c r="M198" s="77">
        <v>455.98400000000004</v>
      </c>
      <c r="N198" s="78">
        <v>455.98400000000004</v>
      </c>
      <c r="O198" s="78">
        <v>455.98400000000004</v>
      </c>
      <c r="P198" s="77">
        <v>455.98400000000004</v>
      </c>
      <c r="Q198" s="77">
        <v>455.98400000000004</v>
      </c>
      <c r="R198" s="67" t="s">
        <v>303</v>
      </c>
      <c r="S198" s="75"/>
    </row>
    <row r="199" spans="1:19" s="63" customFormat="1" ht="120" customHeight="1" x14ac:dyDescent="0.25">
      <c r="A199" s="75"/>
      <c r="B199" s="80" t="s">
        <v>442</v>
      </c>
      <c r="C199" s="76">
        <v>86054091</v>
      </c>
      <c r="D199" s="75" t="s">
        <v>159</v>
      </c>
      <c r="E199" s="75" t="s">
        <v>457</v>
      </c>
      <c r="F199" s="76" t="s">
        <v>158</v>
      </c>
      <c r="G199" s="76">
        <v>12</v>
      </c>
      <c r="H199" s="85">
        <v>283.98</v>
      </c>
      <c r="I199" s="86">
        <v>0.2</v>
      </c>
      <c r="J199" s="85">
        <v>432.72</v>
      </c>
      <c r="K199" s="79">
        <f t="shared" si="2"/>
        <v>0.52376927952672725</v>
      </c>
      <c r="L199" s="77">
        <v>432.72</v>
      </c>
      <c r="M199" s="77">
        <v>432.72</v>
      </c>
      <c r="N199" s="78">
        <v>432.72</v>
      </c>
      <c r="O199" s="78">
        <v>432.72</v>
      </c>
      <c r="P199" s="77">
        <v>432.72</v>
      </c>
      <c r="Q199" s="77">
        <v>432.72</v>
      </c>
      <c r="R199" s="67" t="s">
        <v>187</v>
      </c>
      <c r="S199" s="75"/>
    </row>
    <row r="200" spans="1:19" s="63" customFormat="1" ht="120" customHeight="1" x14ac:dyDescent="0.25">
      <c r="A200" s="75"/>
      <c r="B200" s="80" t="s">
        <v>443</v>
      </c>
      <c r="C200" s="76">
        <v>86054702</v>
      </c>
      <c r="D200" s="75" t="s">
        <v>159</v>
      </c>
      <c r="E200" s="75" t="s">
        <v>487</v>
      </c>
      <c r="F200" s="75" t="s">
        <v>158</v>
      </c>
      <c r="G200" s="76">
        <v>25</v>
      </c>
      <c r="H200" s="85">
        <v>152.69</v>
      </c>
      <c r="I200" s="86">
        <v>0.2</v>
      </c>
      <c r="J200" s="85">
        <v>232.65600000000001</v>
      </c>
      <c r="K200" s="79">
        <f t="shared" si="2"/>
        <v>0.52371471609142706</v>
      </c>
      <c r="L200" s="77">
        <v>232.65600000000001</v>
      </c>
      <c r="M200" s="77">
        <v>232.65600000000001</v>
      </c>
      <c r="N200" s="78">
        <v>232.65600000000001</v>
      </c>
      <c r="O200" s="78">
        <v>232.65600000000001</v>
      </c>
      <c r="P200" s="77">
        <v>232.65600000000001</v>
      </c>
      <c r="Q200" s="77">
        <v>232.65600000000001</v>
      </c>
      <c r="R200" s="67" t="s">
        <v>161</v>
      </c>
      <c r="S200" s="75"/>
    </row>
    <row r="201" spans="1:19" s="63" customFormat="1" ht="120" customHeight="1" x14ac:dyDescent="0.25">
      <c r="A201" s="75"/>
      <c r="B201" s="80" t="s">
        <v>444</v>
      </c>
      <c r="C201" s="76">
        <v>86054703</v>
      </c>
      <c r="D201" s="75" t="s">
        <v>159</v>
      </c>
      <c r="E201" s="75" t="s">
        <v>486</v>
      </c>
      <c r="F201" s="75" t="s">
        <v>158</v>
      </c>
      <c r="G201" s="76">
        <v>20</v>
      </c>
      <c r="H201" s="85">
        <v>204.6</v>
      </c>
      <c r="I201" s="86">
        <v>0.2</v>
      </c>
      <c r="J201" s="85">
        <v>311.76</v>
      </c>
      <c r="K201" s="79">
        <f t="shared" si="2"/>
        <v>0.52375366568914949</v>
      </c>
      <c r="L201" s="77">
        <v>311.76</v>
      </c>
      <c r="M201" s="77">
        <v>311.76</v>
      </c>
      <c r="N201" s="78">
        <v>311.76</v>
      </c>
      <c r="O201" s="78">
        <v>311.76</v>
      </c>
      <c r="P201" s="77">
        <v>311.76</v>
      </c>
      <c r="Q201" s="77">
        <v>311.76</v>
      </c>
      <c r="R201" s="67" t="s">
        <v>161</v>
      </c>
      <c r="S201" s="75"/>
    </row>
    <row r="202" spans="1:19" s="63" customFormat="1" ht="120" customHeight="1" x14ac:dyDescent="0.25">
      <c r="A202" s="75"/>
      <c r="B202" s="80" t="s">
        <v>445</v>
      </c>
      <c r="C202" s="76">
        <v>86054704</v>
      </c>
      <c r="D202" s="75" t="s">
        <v>159</v>
      </c>
      <c r="E202" s="75" t="s">
        <v>485</v>
      </c>
      <c r="F202" s="75" t="s">
        <v>158</v>
      </c>
      <c r="G202" s="76">
        <v>12</v>
      </c>
      <c r="H202" s="85">
        <v>282.45</v>
      </c>
      <c r="I202" s="86">
        <v>0.2</v>
      </c>
      <c r="J202" s="85">
        <v>430.40000000000003</v>
      </c>
      <c r="K202" s="79">
        <f t="shared" si="2"/>
        <v>0.52380952380952395</v>
      </c>
      <c r="L202" s="77">
        <v>430.40000000000003</v>
      </c>
      <c r="M202" s="77">
        <v>430.40000000000003</v>
      </c>
      <c r="N202" s="78">
        <v>430.40000000000003</v>
      </c>
      <c r="O202" s="78">
        <v>430.40000000000003</v>
      </c>
      <c r="P202" s="77">
        <v>430.40000000000003</v>
      </c>
      <c r="Q202" s="77">
        <v>430.40000000000003</v>
      </c>
      <c r="R202" s="67" t="s">
        <v>161</v>
      </c>
      <c r="S202" s="75"/>
    </row>
    <row r="203" spans="1:19" s="63" customFormat="1" ht="120" customHeight="1" x14ac:dyDescent="0.25">
      <c r="A203" s="75"/>
      <c r="B203" s="80" t="s">
        <v>306</v>
      </c>
      <c r="C203" s="76">
        <v>86100001</v>
      </c>
      <c r="D203" s="75" t="s">
        <v>159</v>
      </c>
      <c r="E203" s="83" t="s">
        <v>457</v>
      </c>
      <c r="F203" s="76" t="s">
        <v>158</v>
      </c>
      <c r="G203" s="76">
        <v>12</v>
      </c>
      <c r="H203" s="85">
        <v>192.38</v>
      </c>
      <c r="I203" s="86">
        <v>0.2</v>
      </c>
      <c r="J203" s="85">
        <v>293.13600000000002</v>
      </c>
      <c r="K203" s="79">
        <f t="shared" si="2"/>
        <v>0.52373427591225719</v>
      </c>
      <c r="L203" s="77">
        <v>293.13600000000002</v>
      </c>
      <c r="M203" s="77">
        <v>293.13600000000002</v>
      </c>
      <c r="N203" s="78">
        <v>293.13600000000002</v>
      </c>
      <c r="O203" s="78">
        <v>293.13600000000002</v>
      </c>
      <c r="P203" s="77">
        <v>293.13600000000002</v>
      </c>
      <c r="Q203" s="77">
        <v>293.13600000000002</v>
      </c>
      <c r="R203" s="67" t="s">
        <v>187</v>
      </c>
      <c r="S203" s="75"/>
    </row>
    <row r="204" spans="1:19" ht="120" customHeight="1" x14ac:dyDescent="0.25">
      <c r="A204" s="75"/>
      <c r="B204" s="80" t="s">
        <v>307</v>
      </c>
      <c r="C204" s="76">
        <v>86100003</v>
      </c>
      <c r="D204" s="75" t="s">
        <v>159</v>
      </c>
      <c r="E204" s="75" t="s">
        <v>457</v>
      </c>
      <c r="F204" s="76" t="s">
        <v>158</v>
      </c>
      <c r="G204" s="76">
        <v>12</v>
      </c>
      <c r="H204" s="85">
        <v>225.96</v>
      </c>
      <c r="I204" s="86">
        <v>0.2</v>
      </c>
      <c r="J204" s="85">
        <v>344.32</v>
      </c>
      <c r="K204" s="79">
        <f t="shared" ref="K204:K267" si="3">+J204/H204-1</f>
        <v>0.52380952380952372</v>
      </c>
      <c r="L204" s="77">
        <v>344.32</v>
      </c>
      <c r="M204" s="77">
        <v>344.32</v>
      </c>
      <c r="N204" s="78">
        <v>344.32</v>
      </c>
      <c r="O204" s="78">
        <v>344.32</v>
      </c>
      <c r="P204" s="77">
        <v>344.32</v>
      </c>
      <c r="Q204" s="77">
        <v>344.32</v>
      </c>
      <c r="R204" s="67" t="s">
        <v>187</v>
      </c>
      <c r="S204" s="75"/>
    </row>
    <row r="205" spans="1:19" ht="120" customHeight="1" x14ac:dyDescent="0.25">
      <c r="A205" s="75"/>
      <c r="B205" s="80" t="s">
        <v>308</v>
      </c>
      <c r="C205" s="76">
        <v>86100005</v>
      </c>
      <c r="D205" s="75" t="s">
        <v>159</v>
      </c>
      <c r="E205" s="83" t="s">
        <v>457</v>
      </c>
      <c r="F205" s="76" t="s">
        <v>158</v>
      </c>
      <c r="G205" s="76">
        <v>12</v>
      </c>
      <c r="H205" s="85">
        <v>216.81</v>
      </c>
      <c r="I205" s="86">
        <v>0.2</v>
      </c>
      <c r="J205" s="85">
        <v>330.36799999999999</v>
      </c>
      <c r="K205" s="79">
        <f t="shared" si="3"/>
        <v>0.52376735390434015</v>
      </c>
      <c r="L205" s="77">
        <v>330.36799999999999</v>
      </c>
      <c r="M205" s="77">
        <v>330.36799999999999</v>
      </c>
      <c r="N205" s="78">
        <v>330.36799999999999</v>
      </c>
      <c r="O205" s="78">
        <v>330.36799999999999</v>
      </c>
      <c r="P205" s="77">
        <v>330.36799999999999</v>
      </c>
      <c r="Q205" s="77">
        <v>330.36799999999999</v>
      </c>
      <c r="R205" s="67" t="s">
        <v>187</v>
      </c>
      <c r="S205" s="75"/>
    </row>
    <row r="206" spans="1:19" ht="120" customHeight="1" x14ac:dyDescent="0.25">
      <c r="A206" s="75"/>
      <c r="B206" s="80" t="s">
        <v>309</v>
      </c>
      <c r="C206" s="76">
        <v>86100007</v>
      </c>
      <c r="D206" s="75" t="s">
        <v>159</v>
      </c>
      <c r="E206" s="83" t="s">
        <v>457</v>
      </c>
      <c r="F206" s="76" t="s">
        <v>158</v>
      </c>
      <c r="G206" s="76">
        <v>12</v>
      </c>
      <c r="H206" s="85">
        <v>219.85999999999999</v>
      </c>
      <c r="I206" s="86">
        <v>0.2</v>
      </c>
      <c r="J206" s="85">
        <v>335.024</v>
      </c>
      <c r="K206" s="79">
        <f t="shared" si="3"/>
        <v>0.52380605840080063</v>
      </c>
      <c r="L206" s="77">
        <v>335.024</v>
      </c>
      <c r="M206" s="77">
        <v>335.024</v>
      </c>
      <c r="N206" s="78">
        <v>335.024</v>
      </c>
      <c r="O206" s="78">
        <v>335.024</v>
      </c>
      <c r="P206" s="77">
        <v>335.024</v>
      </c>
      <c r="Q206" s="77">
        <v>335.024</v>
      </c>
      <c r="R206" s="67" t="s">
        <v>161</v>
      </c>
      <c r="S206" s="75"/>
    </row>
    <row r="207" spans="1:19" ht="120" customHeight="1" x14ac:dyDescent="0.25">
      <c r="A207" s="75"/>
      <c r="B207" s="80" t="s">
        <v>310</v>
      </c>
      <c r="C207" s="76">
        <v>86100011</v>
      </c>
      <c r="D207" s="75" t="s">
        <v>159</v>
      </c>
      <c r="E207" s="83" t="s">
        <v>457</v>
      </c>
      <c r="F207" s="76" t="s">
        <v>158</v>
      </c>
      <c r="G207" s="76">
        <v>12</v>
      </c>
      <c r="H207" s="85">
        <v>861.1</v>
      </c>
      <c r="I207" s="86">
        <v>0.2</v>
      </c>
      <c r="J207" s="85">
        <v>1312.1440000000002</v>
      </c>
      <c r="K207" s="79">
        <f t="shared" si="3"/>
        <v>0.52379979096504492</v>
      </c>
      <c r="L207" s="77">
        <v>1312.1440000000002</v>
      </c>
      <c r="M207" s="77">
        <v>1312.1440000000002</v>
      </c>
      <c r="N207" s="78">
        <v>1312.1440000000002</v>
      </c>
      <c r="O207" s="78">
        <v>1312.1440000000002</v>
      </c>
      <c r="P207" s="77">
        <v>1312.1440000000002</v>
      </c>
      <c r="Q207" s="77">
        <v>1312.1440000000002</v>
      </c>
      <c r="R207" s="67" t="s">
        <v>187</v>
      </c>
      <c r="S207" s="75"/>
    </row>
    <row r="208" spans="1:19" ht="120" customHeight="1" x14ac:dyDescent="0.25">
      <c r="A208" s="75"/>
      <c r="B208" s="80" t="s">
        <v>311</v>
      </c>
      <c r="C208" s="76">
        <v>86100017</v>
      </c>
      <c r="D208" s="75" t="s">
        <v>159</v>
      </c>
      <c r="E208" s="83" t="s">
        <v>458</v>
      </c>
      <c r="F208" s="76" t="s">
        <v>158</v>
      </c>
      <c r="G208" s="76">
        <v>12</v>
      </c>
      <c r="H208" s="85">
        <v>271.77</v>
      </c>
      <c r="I208" s="86">
        <v>0.2</v>
      </c>
      <c r="J208" s="85">
        <v>414.11200000000002</v>
      </c>
      <c r="K208" s="79">
        <f t="shared" si="3"/>
        <v>0.52375906097067393</v>
      </c>
      <c r="L208" s="77">
        <v>414.11200000000002</v>
      </c>
      <c r="M208" s="77">
        <v>414.11200000000002</v>
      </c>
      <c r="N208" s="78">
        <v>414.11200000000002</v>
      </c>
      <c r="O208" s="78">
        <v>414.11200000000002</v>
      </c>
      <c r="P208" s="77">
        <v>414.11200000000002</v>
      </c>
      <c r="Q208" s="77">
        <v>414.11200000000002</v>
      </c>
      <c r="R208" s="67" t="s">
        <v>303</v>
      </c>
      <c r="S208" s="75"/>
    </row>
    <row r="209" spans="1:19" ht="120" customHeight="1" x14ac:dyDescent="0.25">
      <c r="A209" s="75"/>
      <c r="B209" s="80" t="s">
        <v>312</v>
      </c>
      <c r="C209" s="76">
        <v>86100021</v>
      </c>
      <c r="D209" s="75" t="s">
        <v>159</v>
      </c>
      <c r="E209" s="83" t="s">
        <v>457</v>
      </c>
      <c r="F209" s="76" t="s">
        <v>158</v>
      </c>
      <c r="G209" s="76">
        <v>12</v>
      </c>
      <c r="H209" s="85">
        <v>225.96</v>
      </c>
      <c r="I209" s="86">
        <v>0.2</v>
      </c>
      <c r="J209" s="85">
        <v>344.32</v>
      </c>
      <c r="K209" s="79">
        <f t="shared" si="3"/>
        <v>0.52380952380952372</v>
      </c>
      <c r="L209" s="77">
        <v>344.32</v>
      </c>
      <c r="M209" s="77">
        <v>344.32</v>
      </c>
      <c r="N209" s="78">
        <v>344.32</v>
      </c>
      <c r="O209" s="78">
        <v>344.32</v>
      </c>
      <c r="P209" s="77">
        <v>344.32</v>
      </c>
      <c r="Q209" s="77">
        <v>344.32</v>
      </c>
      <c r="R209" s="67" t="s">
        <v>187</v>
      </c>
      <c r="S209" s="75"/>
    </row>
    <row r="210" spans="1:19" ht="120" customHeight="1" x14ac:dyDescent="0.25">
      <c r="A210" s="75"/>
      <c r="B210" s="80" t="s">
        <v>313</v>
      </c>
      <c r="C210" s="76">
        <v>86100022</v>
      </c>
      <c r="D210" s="75" t="s">
        <v>159</v>
      </c>
      <c r="E210" s="83" t="s">
        <v>457</v>
      </c>
      <c r="F210" s="76" t="s">
        <v>158</v>
      </c>
      <c r="G210" s="76">
        <v>12</v>
      </c>
      <c r="H210" s="85">
        <v>189.32999999999998</v>
      </c>
      <c r="I210" s="86">
        <v>0.2</v>
      </c>
      <c r="J210" s="85">
        <v>288.49600000000004</v>
      </c>
      <c r="K210" s="79">
        <f t="shared" si="3"/>
        <v>0.52377330586806137</v>
      </c>
      <c r="L210" s="77">
        <v>288.49600000000004</v>
      </c>
      <c r="M210" s="77">
        <v>288.49600000000004</v>
      </c>
      <c r="N210" s="78">
        <v>288.49600000000004</v>
      </c>
      <c r="O210" s="78">
        <v>288.49600000000004</v>
      </c>
      <c r="P210" s="77">
        <v>288.49600000000004</v>
      </c>
      <c r="Q210" s="77">
        <v>288.49600000000004</v>
      </c>
      <c r="R210" s="67" t="s">
        <v>303</v>
      </c>
      <c r="S210" s="75"/>
    </row>
    <row r="211" spans="1:19" ht="120" customHeight="1" x14ac:dyDescent="0.25">
      <c r="A211" s="75"/>
      <c r="B211" s="80" t="s">
        <v>314</v>
      </c>
      <c r="C211" s="76">
        <v>86100023</v>
      </c>
      <c r="D211" s="75" t="s">
        <v>159</v>
      </c>
      <c r="E211" s="83" t="s">
        <v>457</v>
      </c>
      <c r="F211" s="76" t="s">
        <v>158</v>
      </c>
      <c r="G211" s="76">
        <v>12</v>
      </c>
      <c r="H211" s="85">
        <v>267.19</v>
      </c>
      <c r="I211" s="86">
        <v>0.2</v>
      </c>
      <c r="J211" s="85">
        <v>407.13600000000002</v>
      </c>
      <c r="K211" s="79">
        <f t="shared" si="3"/>
        <v>0.5237696021557694</v>
      </c>
      <c r="L211" s="77">
        <v>407.13600000000002</v>
      </c>
      <c r="M211" s="77">
        <v>407.13600000000002</v>
      </c>
      <c r="N211" s="78">
        <v>407.13600000000002</v>
      </c>
      <c r="O211" s="78">
        <v>407.13600000000002</v>
      </c>
      <c r="P211" s="77">
        <v>407.13600000000002</v>
      </c>
      <c r="Q211" s="77">
        <v>407.13600000000002</v>
      </c>
      <c r="R211" s="67" t="s">
        <v>187</v>
      </c>
      <c r="S211" s="75"/>
    </row>
    <row r="212" spans="1:19" ht="120" customHeight="1" x14ac:dyDescent="0.25">
      <c r="A212" s="75"/>
      <c r="B212" s="80" t="s">
        <v>315</v>
      </c>
      <c r="C212" s="76">
        <v>86100028</v>
      </c>
      <c r="D212" s="75" t="s">
        <v>159</v>
      </c>
      <c r="E212" s="83" t="s">
        <v>457</v>
      </c>
      <c r="F212" s="76" t="s">
        <v>158</v>
      </c>
      <c r="G212" s="76">
        <v>12</v>
      </c>
      <c r="H212" s="85">
        <v>213.75</v>
      </c>
      <c r="I212" s="86">
        <v>0.2</v>
      </c>
      <c r="J212" s="85">
        <v>325.71199999999999</v>
      </c>
      <c r="K212" s="79">
        <f t="shared" si="3"/>
        <v>0.5237988304093566</v>
      </c>
      <c r="L212" s="77">
        <v>325.71199999999999</v>
      </c>
      <c r="M212" s="77">
        <v>325.71199999999999</v>
      </c>
      <c r="N212" s="78">
        <v>325.71199999999999</v>
      </c>
      <c r="O212" s="78">
        <v>325.71199999999999</v>
      </c>
      <c r="P212" s="77">
        <v>325.71199999999999</v>
      </c>
      <c r="Q212" s="77">
        <v>325.71199999999999</v>
      </c>
      <c r="R212" s="67" t="s">
        <v>303</v>
      </c>
      <c r="S212" s="75"/>
    </row>
    <row r="213" spans="1:19" ht="120" customHeight="1" x14ac:dyDescent="0.25">
      <c r="A213" s="75"/>
      <c r="B213" s="80" t="s">
        <v>316</v>
      </c>
      <c r="C213" s="76">
        <v>86100029</v>
      </c>
      <c r="D213" s="75" t="s">
        <v>159</v>
      </c>
      <c r="E213" s="83" t="s">
        <v>457</v>
      </c>
      <c r="F213" s="76" t="s">
        <v>158</v>
      </c>
      <c r="G213" s="76">
        <v>12</v>
      </c>
      <c r="H213" s="85">
        <v>247.34</v>
      </c>
      <c r="I213" s="86">
        <v>0.2</v>
      </c>
      <c r="J213" s="85">
        <v>376.89600000000002</v>
      </c>
      <c r="K213" s="79">
        <f t="shared" si="3"/>
        <v>0.52379720223174586</v>
      </c>
      <c r="L213" s="77">
        <v>376.89600000000002</v>
      </c>
      <c r="M213" s="77">
        <v>376.89600000000002</v>
      </c>
      <c r="N213" s="78">
        <v>376.89600000000002</v>
      </c>
      <c r="O213" s="78">
        <v>376.89600000000002</v>
      </c>
      <c r="P213" s="77">
        <v>376.89600000000002</v>
      </c>
      <c r="Q213" s="77">
        <v>376.89600000000002</v>
      </c>
      <c r="R213" s="67" t="s">
        <v>303</v>
      </c>
      <c r="S213" s="75"/>
    </row>
    <row r="214" spans="1:19" ht="120" customHeight="1" x14ac:dyDescent="0.25">
      <c r="A214" s="75"/>
      <c r="B214" s="80" t="s">
        <v>317</v>
      </c>
      <c r="C214" s="76">
        <v>86100035</v>
      </c>
      <c r="D214" s="75" t="s">
        <v>159</v>
      </c>
      <c r="E214" s="83" t="s">
        <v>457</v>
      </c>
      <c r="F214" s="76" t="s">
        <v>158</v>
      </c>
      <c r="G214" s="76">
        <v>12</v>
      </c>
      <c r="H214" s="85">
        <v>477.88</v>
      </c>
      <c r="I214" s="86">
        <v>0.2</v>
      </c>
      <c r="J214" s="85">
        <v>728.19200000000001</v>
      </c>
      <c r="K214" s="79">
        <f t="shared" si="3"/>
        <v>0.52379676906336314</v>
      </c>
      <c r="L214" s="77">
        <v>728.19200000000001</v>
      </c>
      <c r="M214" s="77">
        <v>728.19200000000001</v>
      </c>
      <c r="N214" s="78">
        <v>728.19200000000001</v>
      </c>
      <c r="O214" s="78">
        <v>728.19200000000001</v>
      </c>
      <c r="P214" s="77">
        <v>728.19200000000001</v>
      </c>
      <c r="Q214" s="77">
        <v>728.19200000000001</v>
      </c>
      <c r="R214" s="67" t="s">
        <v>161</v>
      </c>
      <c r="S214" s="75"/>
    </row>
    <row r="215" spans="1:19" ht="120" customHeight="1" x14ac:dyDescent="0.25">
      <c r="A215" s="75"/>
      <c r="B215" s="80" t="s">
        <v>318</v>
      </c>
      <c r="C215" s="76">
        <v>86100082</v>
      </c>
      <c r="D215" s="75" t="s">
        <v>159</v>
      </c>
      <c r="E215" s="83" t="s">
        <v>458</v>
      </c>
      <c r="F215" s="76" t="s">
        <v>158</v>
      </c>
      <c r="G215" s="76">
        <v>12</v>
      </c>
      <c r="H215" s="85">
        <v>299.24</v>
      </c>
      <c r="I215" s="86">
        <v>0.2</v>
      </c>
      <c r="J215" s="85">
        <v>455.98400000000004</v>
      </c>
      <c r="K215" s="79">
        <f t="shared" si="3"/>
        <v>0.5238069776767813</v>
      </c>
      <c r="L215" s="77">
        <v>455.98400000000004</v>
      </c>
      <c r="M215" s="77">
        <v>455.98400000000004</v>
      </c>
      <c r="N215" s="78">
        <v>455.98400000000004</v>
      </c>
      <c r="O215" s="78">
        <v>455.98400000000004</v>
      </c>
      <c r="P215" s="77">
        <v>455.98400000000004</v>
      </c>
      <c r="Q215" s="77">
        <v>455.98400000000004</v>
      </c>
      <c r="R215" s="67" t="s">
        <v>303</v>
      </c>
      <c r="S215" s="75"/>
    </row>
    <row r="216" spans="1:19" ht="120" customHeight="1" x14ac:dyDescent="0.25">
      <c r="A216" s="75"/>
      <c r="B216" s="80" t="s">
        <v>319</v>
      </c>
      <c r="C216" s="76">
        <v>86100091</v>
      </c>
      <c r="D216" s="75" t="s">
        <v>159</v>
      </c>
      <c r="E216" s="83" t="s">
        <v>457</v>
      </c>
      <c r="F216" s="75" t="s">
        <v>158</v>
      </c>
      <c r="G216" s="76">
        <v>12</v>
      </c>
      <c r="H216" s="85">
        <v>283.98</v>
      </c>
      <c r="I216" s="86">
        <v>0.2</v>
      </c>
      <c r="J216" s="85">
        <v>432.72</v>
      </c>
      <c r="K216" s="79">
        <f t="shared" si="3"/>
        <v>0.52376927952672725</v>
      </c>
      <c r="L216" s="77">
        <v>432.72</v>
      </c>
      <c r="M216" s="77">
        <v>432.72</v>
      </c>
      <c r="N216" s="78">
        <v>432.72</v>
      </c>
      <c r="O216" s="78">
        <v>432.72</v>
      </c>
      <c r="P216" s="77">
        <v>432.72</v>
      </c>
      <c r="Q216" s="77">
        <v>432.72</v>
      </c>
      <c r="R216" s="67" t="s">
        <v>187</v>
      </c>
      <c r="S216" s="75"/>
    </row>
    <row r="217" spans="1:19" ht="120" customHeight="1" x14ac:dyDescent="0.25">
      <c r="A217" s="75"/>
      <c r="B217" s="80" t="s">
        <v>320</v>
      </c>
      <c r="C217" s="76">
        <v>86100702</v>
      </c>
      <c r="D217" s="75" t="s">
        <v>159</v>
      </c>
      <c r="E217" s="83" t="s">
        <v>459</v>
      </c>
      <c r="F217" s="76" t="s">
        <v>158</v>
      </c>
      <c r="G217" s="76">
        <v>25</v>
      </c>
      <c r="H217" s="85">
        <v>152.69</v>
      </c>
      <c r="I217" s="86">
        <v>0.2</v>
      </c>
      <c r="J217" s="85">
        <v>232.65600000000001</v>
      </c>
      <c r="K217" s="79">
        <f t="shared" si="3"/>
        <v>0.52371471609142706</v>
      </c>
      <c r="L217" s="77">
        <v>232.65600000000001</v>
      </c>
      <c r="M217" s="77">
        <v>232.65600000000001</v>
      </c>
      <c r="N217" s="78">
        <v>232.65600000000001</v>
      </c>
      <c r="O217" s="78">
        <v>232.65600000000001</v>
      </c>
      <c r="P217" s="77">
        <v>232.65600000000001</v>
      </c>
      <c r="Q217" s="77">
        <v>232.65600000000001</v>
      </c>
      <c r="R217" s="67" t="s">
        <v>161</v>
      </c>
      <c r="S217" s="75"/>
    </row>
    <row r="218" spans="1:19" ht="120" customHeight="1" x14ac:dyDescent="0.25">
      <c r="A218" s="75"/>
      <c r="B218" s="80" t="s">
        <v>321</v>
      </c>
      <c r="C218" s="76">
        <v>86100703</v>
      </c>
      <c r="D218" s="75" t="s">
        <v>159</v>
      </c>
      <c r="E218" s="83" t="s">
        <v>460</v>
      </c>
      <c r="F218" s="76" t="s">
        <v>158</v>
      </c>
      <c r="G218" s="76">
        <v>20</v>
      </c>
      <c r="H218" s="85">
        <v>204.6</v>
      </c>
      <c r="I218" s="86">
        <v>0.2</v>
      </c>
      <c r="J218" s="85">
        <v>311.76</v>
      </c>
      <c r="K218" s="79">
        <f t="shared" si="3"/>
        <v>0.52375366568914949</v>
      </c>
      <c r="L218" s="77">
        <v>311.76</v>
      </c>
      <c r="M218" s="77">
        <v>311.76</v>
      </c>
      <c r="N218" s="78">
        <v>311.76</v>
      </c>
      <c r="O218" s="78">
        <v>311.76</v>
      </c>
      <c r="P218" s="77">
        <v>311.76</v>
      </c>
      <c r="Q218" s="77">
        <v>311.76</v>
      </c>
      <c r="R218" s="67" t="s">
        <v>161</v>
      </c>
      <c r="S218" s="75"/>
    </row>
    <row r="219" spans="1:19" ht="120" customHeight="1" x14ac:dyDescent="0.25">
      <c r="A219" s="75"/>
      <c r="B219" s="80" t="s">
        <v>322</v>
      </c>
      <c r="C219" s="76">
        <v>86100704</v>
      </c>
      <c r="D219" s="75" t="s">
        <v>159</v>
      </c>
      <c r="E219" s="83" t="s">
        <v>461</v>
      </c>
      <c r="F219" s="75" t="s">
        <v>158</v>
      </c>
      <c r="G219" s="76">
        <v>12</v>
      </c>
      <c r="H219" s="85">
        <v>282.45</v>
      </c>
      <c r="I219" s="86">
        <v>0.2</v>
      </c>
      <c r="J219" s="85">
        <v>430.40000000000003</v>
      </c>
      <c r="K219" s="79">
        <f t="shared" si="3"/>
        <v>0.52380952380952395</v>
      </c>
      <c r="L219" s="77">
        <v>430.40000000000003</v>
      </c>
      <c r="M219" s="77">
        <v>430.40000000000003</v>
      </c>
      <c r="N219" s="78">
        <v>430.40000000000003</v>
      </c>
      <c r="O219" s="78">
        <v>430.40000000000003</v>
      </c>
      <c r="P219" s="77">
        <v>430.40000000000003</v>
      </c>
      <c r="Q219" s="77">
        <v>430.40000000000003</v>
      </c>
      <c r="R219" s="67" t="s">
        <v>161</v>
      </c>
      <c r="S219" s="75"/>
    </row>
    <row r="220" spans="1:19" ht="120" customHeight="1" x14ac:dyDescent="0.25">
      <c r="A220" s="75"/>
      <c r="B220" s="80" t="s">
        <v>323</v>
      </c>
      <c r="C220" s="76">
        <v>88001001</v>
      </c>
      <c r="D220" s="75" t="s">
        <v>159</v>
      </c>
      <c r="E220" s="83" t="s">
        <v>457</v>
      </c>
      <c r="F220" s="76" t="s">
        <v>158</v>
      </c>
      <c r="G220" s="76">
        <v>12</v>
      </c>
      <c r="H220" s="85">
        <v>120.63000000000001</v>
      </c>
      <c r="I220" s="86">
        <v>0.2</v>
      </c>
      <c r="J220" s="85">
        <v>183.80799999999999</v>
      </c>
      <c r="K220" s="79">
        <f t="shared" si="3"/>
        <v>0.52373373124430067</v>
      </c>
      <c r="L220" s="77">
        <v>183.80799999999999</v>
      </c>
      <c r="M220" s="77">
        <v>183.80799999999999</v>
      </c>
      <c r="N220" s="78">
        <v>183.80799999999999</v>
      </c>
      <c r="O220" s="78">
        <v>183.80799999999999</v>
      </c>
      <c r="P220" s="77">
        <v>183.80799999999999</v>
      </c>
      <c r="Q220" s="77">
        <v>183.80799999999999</v>
      </c>
      <c r="R220" s="67" t="s">
        <v>187</v>
      </c>
      <c r="S220" s="75"/>
    </row>
    <row r="221" spans="1:19" ht="120" customHeight="1" x14ac:dyDescent="0.25">
      <c r="A221" s="75"/>
      <c r="B221" s="80" t="s">
        <v>324</v>
      </c>
      <c r="C221" s="76">
        <v>88001002</v>
      </c>
      <c r="D221" s="75" t="s">
        <v>159</v>
      </c>
      <c r="E221" s="83" t="s">
        <v>457</v>
      </c>
      <c r="F221" s="76" t="s">
        <v>158</v>
      </c>
      <c r="G221" s="76">
        <v>12</v>
      </c>
      <c r="H221" s="85">
        <v>122.14</v>
      </c>
      <c r="I221" s="86">
        <v>0.2</v>
      </c>
      <c r="J221" s="85">
        <v>186.11199999999999</v>
      </c>
      <c r="K221" s="79">
        <f t="shared" si="3"/>
        <v>0.52375962010807275</v>
      </c>
      <c r="L221" s="77">
        <v>186.11199999999999</v>
      </c>
      <c r="M221" s="77">
        <v>186.11199999999999</v>
      </c>
      <c r="N221" s="78">
        <v>186.11199999999999</v>
      </c>
      <c r="O221" s="78">
        <v>186.11199999999999</v>
      </c>
      <c r="P221" s="77">
        <v>186.11199999999999</v>
      </c>
      <c r="Q221" s="77">
        <v>186.11199999999999</v>
      </c>
      <c r="R221" s="67" t="s">
        <v>303</v>
      </c>
      <c r="S221" s="75"/>
    </row>
    <row r="222" spans="1:19" ht="120" customHeight="1" x14ac:dyDescent="0.25">
      <c r="A222" s="75"/>
      <c r="B222" s="80" t="s">
        <v>325</v>
      </c>
      <c r="C222" s="76">
        <v>88001003</v>
      </c>
      <c r="D222" s="75" t="s">
        <v>159</v>
      </c>
      <c r="E222" s="83" t="s">
        <v>457</v>
      </c>
      <c r="F222" s="76" t="s">
        <v>158</v>
      </c>
      <c r="G222" s="76">
        <v>12</v>
      </c>
      <c r="H222" s="85">
        <v>145.04999999999998</v>
      </c>
      <c r="I222" s="86">
        <v>0.2</v>
      </c>
      <c r="J222" s="85">
        <v>221.024</v>
      </c>
      <c r="K222" s="79">
        <f t="shared" si="3"/>
        <v>0.52377800758359205</v>
      </c>
      <c r="L222" s="77">
        <v>221.024</v>
      </c>
      <c r="M222" s="77">
        <v>221.024</v>
      </c>
      <c r="N222" s="78">
        <v>221.024</v>
      </c>
      <c r="O222" s="78">
        <v>221.024</v>
      </c>
      <c r="P222" s="77">
        <v>221.024</v>
      </c>
      <c r="Q222" s="77">
        <v>221.024</v>
      </c>
      <c r="R222" s="67" t="s">
        <v>187</v>
      </c>
      <c r="S222" s="75"/>
    </row>
    <row r="223" spans="1:19" ht="120" customHeight="1" x14ac:dyDescent="0.25">
      <c r="A223" s="75"/>
      <c r="B223" s="80" t="s">
        <v>326</v>
      </c>
      <c r="C223" s="76">
        <v>88001005</v>
      </c>
      <c r="D223" s="75" t="s">
        <v>159</v>
      </c>
      <c r="E223" s="83" t="s">
        <v>457</v>
      </c>
      <c r="F223" s="76" t="s">
        <v>158</v>
      </c>
      <c r="G223" s="76">
        <v>12</v>
      </c>
      <c r="H223" s="85">
        <v>146.57</v>
      </c>
      <c r="I223" s="86">
        <v>0.2</v>
      </c>
      <c r="J223" s="85">
        <v>223.34400000000002</v>
      </c>
      <c r="K223" s="79">
        <f t="shared" si="3"/>
        <v>0.52380432557822232</v>
      </c>
      <c r="L223" s="77">
        <v>223.34400000000002</v>
      </c>
      <c r="M223" s="77">
        <v>223.34400000000002</v>
      </c>
      <c r="N223" s="78">
        <v>223.34400000000002</v>
      </c>
      <c r="O223" s="78">
        <v>223.34400000000002</v>
      </c>
      <c r="P223" s="77">
        <v>223.34400000000002</v>
      </c>
      <c r="Q223" s="77">
        <v>223.34400000000002</v>
      </c>
      <c r="R223" s="67" t="s">
        <v>187</v>
      </c>
      <c r="S223" s="75"/>
    </row>
    <row r="224" spans="1:19" ht="120" customHeight="1" x14ac:dyDescent="0.25">
      <c r="A224" s="75"/>
      <c r="B224" s="80" t="s">
        <v>327</v>
      </c>
      <c r="C224" s="76">
        <v>88001007</v>
      </c>
      <c r="D224" s="75" t="s">
        <v>159</v>
      </c>
      <c r="E224" s="83" t="s">
        <v>457</v>
      </c>
      <c r="F224" s="76" t="s">
        <v>158</v>
      </c>
      <c r="G224" s="76">
        <v>12</v>
      </c>
      <c r="H224" s="85">
        <v>152.69</v>
      </c>
      <c r="I224" s="86">
        <v>0.2</v>
      </c>
      <c r="J224" s="85">
        <v>232.65600000000001</v>
      </c>
      <c r="K224" s="79">
        <f t="shared" si="3"/>
        <v>0.52371471609142706</v>
      </c>
      <c r="L224" s="77">
        <v>232.65600000000001</v>
      </c>
      <c r="M224" s="77">
        <v>232.65600000000001</v>
      </c>
      <c r="N224" s="78">
        <v>232.65600000000001</v>
      </c>
      <c r="O224" s="78">
        <v>232.65600000000001</v>
      </c>
      <c r="P224" s="77">
        <v>232.65600000000001</v>
      </c>
      <c r="Q224" s="77">
        <v>232.65600000000001</v>
      </c>
      <c r="R224" s="67" t="s">
        <v>161</v>
      </c>
      <c r="S224" s="75"/>
    </row>
    <row r="225" spans="1:19" ht="120" customHeight="1" x14ac:dyDescent="0.25">
      <c r="A225" s="75"/>
      <c r="B225" s="80" t="s">
        <v>328</v>
      </c>
      <c r="C225" s="76">
        <v>88001008</v>
      </c>
      <c r="D225" s="75" t="s">
        <v>159</v>
      </c>
      <c r="E225" s="83" t="s">
        <v>457</v>
      </c>
      <c r="F225" s="76" t="s">
        <v>158</v>
      </c>
      <c r="G225" s="76">
        <v>12</v>
      </c>
      <c r="H225" s="85">
        <v>145.04999999999998</v>
      </c>
      <c r="I225" s="86">
        <v>0.2</v>
      </c>
      <c r="J225" s="85">
        <v>221.024</v>
      </c>
      <c r="K225" s="79">
        <f t="shared" si="3"/>
        <v>0.52377800758359205</v>
      </c>
      <c r="L225" s="77">
        <v>221.024</v>
      </c>
      <c r="M225" s="77">
        <v>221.024</v>
      </c>
      <c r="N225" s="78">
        <v>221.024</v>
      </c>
      <c r="O225" s="78">
        <v>221.024</v>
      </c>
      <c r="P225" s="77">
        <v>221.024</v>
      </c>
      <c r="Q225" s="77">
        <v>221.024</v>
      </c>
      <c r="R225" s="67" t="s">
        <v>303</v>
      </c>
      <c r="S225" s="75"/>
    </row>
    <row r="226" spans="1:19" ht="120" customHeight="1" x14ac:dyDescent="0.25">
      <c r="A226" s="75"/>
      <c r="B226" s="80" t="s">
        <v>329</v>
      </c>
      <c r="C226" s="76">
        <v>88001011</v>
      </c>
      <c r="D226" s="75" t="s">
        <v>159</v>
      </c>
      <c r="E226" s="83" t="s">
        <v>457</v>
      </c>
      <c r="F226" s="76" t="s">
        <v>158</v>
      </c>
      <c r="G226" s="76">
        <v>12</v>
      </c>
      <c r="H226" s="85">
        <v>777.13</v>
      </c>
      <c r="I226" s="86">
        <v>0.2</v>
      </c>
      <c r="J226" s="85">
        <v>1184.192</v>
      </c>
      <c r="K226" s="79">
        <f t="shared" si="3"/>
        <v>0.52380168054250897</v>
      </c>
      <c r="L226" s="77">
        <v>1184.192</v>
      </c>
      <c r="M226" s="77">
        <v>1184.192</v>
      </c>
      <c r="N226" s="78">
        <v>1184.192</v>
      </c>
      <c r="O226" s="78">
        <v>1184.192</v>
      </c>
      <c r="P226" s="77">
        <v>1184.192</v>
      </c>
      <c r="Q226" s="77">
        <v>1184.192</v>
      </c>
      <c r="R226" s="67" t="s">
        <v>187</v>
      </c>
      <c r="S226" s="75"/>
    </row>
    <row r="227" spans="1:19" ht="120" customHeight="1" x14ac:dyDescent="0.25">
      <c r="A227" s="75"/>
      <c r="B227" s="80" t="s">
        <v>330</v>
      </c>
      <c r="C227" s="76">
        <v>88001017</v>
      </c>
      <c r="D227" s="75" t="s">
        <v>159</v>
      </c>
      <c r="E227" s="83" t="s">
        <v>458</v>
      </c>
      <c r="F227" s="76" t="s">
        <v>158</v>
      </c>
      <c r="G227" s="76">
        <v>12</v>
      </c>
      <c r="H227" s="85">
        <v>155.73999999999998</v>
      </c>
      <c r="I227" s="86">
        <v>0.2</v>
      </c>
      <c r="J227" s="85">
        <v>237.31200000000001</v>
      </c>
      <c r="K227" s="79">
        <f t="shared" si="3"/>
        <v>0.52377038654167229</v>
      </c>
      <c r="L227" s="77">
        <v>237.31200000000001</v>
      </c>
      <c r="M227" s="77">
        <v>237.31200000000001</v>
      </c>
      <c r="N227" s="78">
        <v>237.31200000000001</v>
      </c>
      <c r="O227" s="78">
        <v>237.31200000000001</v>
      </c>
      <c r="P227" s="77">
        <v>237.31200000000001</v>
      </c>
      <c r="Q227" s="77">
        <v>237.31200000000001</v>
      </c>
      <c r="R227" s="67" t="s">
        <v>303</v>
      </c>
      <c r="S227" s="75"/>
    </row>
    <row r="228" spans="1:19" ht="120" customHeight="1" x14ac:dyDescent="0.25">
      <c r="A228" s="75"/>
      <c r="B228" s="80" t="s">
        <v>331</v>
      </c>
      <c r="C228" s="76">
        <v>88001021</v>
      </c>
      <c r="D228" s="75" t="s">
        <v>159</v>
      </c>
      <c r="E228" s="83" t="s">
        <v>457</v>
      </c>
      <c r="F228" s="76" t="s">
        <v>158</v>
      </c>
      <c r="G228" s="76">
        <v>12</v>
      </c>
      <c r="H228" s="85">
        <v>155.73999999999998</v>
      </c>
      <c r="I228" s="86">
        <v>0.2</v>
      </c>
      <c r="J228" s="85">
        <v>237.31200000000001</v>
      </c>
      <c r="K228" s="79">
        <f t="shared" si="3"/>
        <v>0.52377038654167229</v>
      </c>
      <c r="L228" s="77">
        <v>237.31200000000001</v>
      </c>
      <c r="M228" s="77">
        <v>237.31200000000001</v>
      </c>
      <c r="N228" s="78">
        <v>237.31200000000001</v>
      </c>
      <c r="O228" s="78">
        <v>237.31200000000001</v>
      </c>
      <c r="P228" s="77">
        <v>237.31200000000001</v>
      </c>
      <c r="Q228" s="77">
        <v>237.31200000000001</v>
      </c>
      <c r="R228" s="67" t="s">
        <v>187</v>
      </c>
      <c r="S228" s="75"/>
    </row>
    <row r="229" spans="1:19" ht="120" customHeight="1" x14ac:dyDescent="0.25">
      <c r="A229" s="75"/>
      <c r="B229" s="80" t="s">
        <v>332</v>
      </c>
      <c r="C229" s="76">
        <v>88001022</v>
      </c>
      <c r="D229" s="75" t="s">
        <v>159</v>
      </c>
      <c r="E229" s="83" t="s">
        <v>457</v>
      </c>
      <c r="F229" s="76" t="s">
        <v>158</v>
      </c>
      <c r="G229" s="76">
        <v>12</v>
      </c>
      <c r="H229" s="85">
        <v>116.03</v>
      </c>
      <c r="I229" s="86">
        <v>0.2</v>
      </c>
      <c r="J229" s="85">
        <v>176.8</v>
      </c>
      <c r="K229" s="79">
        <f t="shared" si="3"/>
        <v>0.52374385934672074</v>
      </c>
      <c r="L229" s="77">
        <v>176.8</v>
      </c>
      <c r="M229" s="77">
        <v>176.8</v>
      </c>
      <c r="N229" s="78">
        <v>176.8</v>
      </c>
      <c r="O229" s="78">
        <v>176.8</v>
      </c>
      <c r="P229" s="77">
        <v>176.8</v>
      </c>
      <c r="Q229" s="77">
        <v>176.8</v>
      </c>
      <c r="R229" s="67" t="s">
        <v>303</v>
      </c>
      <c r="S229" s="75"/>
    </row>
    <row r="230" spans="1:19" ht="120" customHeight="1" x14ac:dyDescent="0.25">
      <c r="A230" s="75"/>
      <c r="B230" s="80" t="s">
        <v>333</v>
      </c>
      <c r="C230" s="76">
        <v>88001023</v>
      </c>
      <c r="D230" s="75" t="s">
        <v>159</v>
      </c>
      <c r="E230" s="83" t="s">
        <v>457</v>
      </c>
      <c r="F230" s="76" t="s">
        <v>158</v>
      </c>
      <c r="G230" s="76">
        <v>12</v>
      </c>
      <c r="H230" s="85">
        <v>190.85</v>
      </c>
      <c r="I230" s="86">
        <v>0.2</v>
      </c>
      <c r="J230" s="85">
        <v>290.81599999999997</v>
      </c>
      <c r="K230" s="79">
        <f t="shared" si="3"/>
        <v>0.52379355514802195</v>
      </c>
      <c r="L230" s="77">
        <v>290.81599999999997</v>
      </c>
      <c r="M230" s="77">
        <v>290.81599999999997</v>
      </c>
      <c r="N230" s="78">
        <v>290.81599999999997</v>
      </c>
      <c r="O230" s="78">
        <v>290.81599999999997</v>
      </c>
      <c r="P230" s="77">
        <v>290.81599999999997</v>
      </c>
      <c r="Q230" s="77">
        <v>290.81599999999997</v>
      </c>
      <c r="R230" s="67" t="s">
        <v>187</v>
      </c>
      <c r="S230" s="75"/>
    </row>
    <row r="231" spans="1:19" ht="120" customHeight="1" x14ac:dyDescent="0.25">
      <c r="A231" s="75"/>
      <c r="B231" s="80" t="s">
        <v>334</v>
      </c>
      <c r="C231" s="76">
        <v>88001028</v>
      </c>
      <c r="D231" s="75" t="s">
        <v>159</v>
      </c>
      <c r="E231" s="83" t="s">
        <v>457</v>
      </c>
      <c r="F231" s="76" t="s">
        <v>158</v>
      </c>
      <c r="G231" s="76">
        <v>12</v>
      </c>
      <c r="H231" s="85">
        <v>143.53</v>
      </c>
      <c r="I231" s="86">
        <v>0.2</v>
      </c>
      <c r="J231" s="85">
        <v>218.70400000000001</v>
      </c>
      <c r="K231" s="79">
        <f t="shared" si="3"/>
        <v>0.52375113216749125</v>
      </c>
      <c r="L231" s="77">
        <v>218.70400000000001</v>
      </c>
      <c r="M231" s="77">
        <v>218.70400000000001</v>
      </c>
      <c r="N231" s="78">
        <v>218.70400000000001</v>
      </c>
      <c r="O231" s="78">
        <v>218.70400000000001</v>
      </c>
      <c r="P231" s="77">
        <v>218.70400000000001</v>
      </c>
      <c r="Q231" s="77">
        <v>218.70400000000001</v>
      </c>
      <c r="R231" s="67" t="s">
        <v>303</v>
      </c>
      <c r="S231" s="75"/>
    </row>
    <row r="232" spans="1:19" ht="120" customHeight="1" x14ac:dyDescent="0.25">
      <c r="A232" s="75"/>
      <c r="B232" s="80" t="s">
        <v>335</v>
      </c>
      <c r="C232" s="76">
        <v>88001029</v>
      </c>
      <c r="D232" s="75" t="s">
        <v>159</v>
      </c>
      <c r="E232" s="83" t="s">
        <v>457</v>
      </c>
      <c r="F232" s="76" t="s">
        <v>158</v>
      </c>
      <c r="G232" s="76">
        <v>12</v>
      </c>
      <c r="H232" s="85">
        <v>164.89999999999998</v>
      </c>
      <c r="I232" s="86">
        <v>0.2</v>
      </c>
      <c r="J232" s="85">
        <v>251.26400000000001</v>
      </c>
      <c r="K232" s="79">
        <f t="shared" si="3"/>
        <v>0.52373559733171637</v>
      </c>
      <c r="L232" s="77">
        <v>251.26400000000001</v>
      </c>
      <c r="M232" s="77">
        <v>251.26400000000001</v>
      </c>
      <c r="N232" s="78">
        <v>251.26400000000001</v>
      </c>
      <c r="O232" s="78">
        <v>251.26400000000001</v>
      </c>
      <c r="P232" s="77">
        <v>251.26400000000001</v>
      </c>
      <c r="Q232" s="77">
        <v>251.26400000000001</v>
      </c>
      <c r="R232" s="67" t="s">
        <v>303</v>
      </c>
      <c r="S232" s="75"/>
    </row>
    <row r="233" spans="1:19" ht="120" customHeight="1" x14ac:dyDescent="0.25">
      <c r="A233" s="75"/>
      <c r="B233" s="80" t="s">
        <v>336</v>
      </c>
      <c r="C233" s="76">
        <v>88001035</v>
      </c>
      <c r="D233" s="75" t="s">
        <v>159</v>
      </c>
      <c r="E233" s="83" t="s">
        <v>457</v>
      </c>
      <c r="F233" s="76" t="s">
        <v>158</v>
      </c>
      <c r="G233" s="76">
        <v>12</v>
      </c>
      <c r="H233" s="85">
        <v>404.59999999999997</v>
      </c>
      <c r="I233" s="86">
        <v>0.2</v>
      </c>
      <c r="J233" s="85">
        <v>616.52800000000002</v>
      </c>
      <c r="K233" s="79">
        <f t="shared" si="3"/>
        <v>0.52379634206623837</v>
      </c>
      <c r="L233" s="77">
        <v>616.52800000000002</v>
      </c>
      <c r="M233" s="77">
        <v>616.52800000000002</v>
      </c>
      <c r="N233" s="78">
        <v>616.52800000000002</v>
      </c>
      <c r="O233" s="78">
        <v>616.52800000000002</v>
      </c>
      <c r="P233" s="77">
        <v>616.52800000000002</v>
      </c>
      <c r="Q233" s="77">
        <v>616.52800000000002</v>
      </c>
      <c r="R233" s="67" t="s">
        <v>161</v>
      </c>
      <c r="S233" s="75"/>
    </row>
    <row r="234" spans="1:19" ht="120" customHeight="1" x14ac:dyDescent="0.25">
      <c r="A234" s="75"/>
      <c r="B234" s="80" t="s">
        <v>337</v>
      </c>
      <c r="C234" s="76">
        <v>88001082</v>
      </c>
      <c r="D234" s="75" t="s">
        <v>159</v>
      </c>
      <c r="E234" s="83" t="s">
        <v>458</v>
      </c>
      <c r="F234" s="76" t="s">
        <v>158</v>
      </c>
      <c r="G234" s="76">
        <v>12</v>
      </c>
      <c r="H234" s="85">
        <v>203.06</v>
      </c>
      <c r="I234" s="86">
        <v>0.2</v>
      </c>
      <c r="J234" s="85">
        <v>309.42399999999998</v>
      </c>
      <c r="K234" s="79">
        <f t="shared" si="3"/>
        <v>0.5238057716930955</v>
      </c>
      <c r="L234" s="77">
        <v>309.42399999999998</v>
      </c>
      <c r="M234" s="77">
        <v>309.42399999999998</v>
      </c>
      <c r="N234" s="78">
        <v>309.42399999999998</v>
      </c>
      <c r="O234" s="78">
        <v>309.42399999999998</v>
      </c>
      <c r="P234" s="77">
        <v>309.42399999999998</v>
      </c>
      <c r="Q234" s="77">
        <v>309.42399999999998</v>
      </c>
      <c r="R234" s="67" t="s">
        <v>303</v>
      </c>
      <c r="S234" s="75"/>
    </row>
    <row r="235" spans="1:19" ht="120" customHeight="1" x14ac:dyDescent="0.25">
      <c r="A235" s="75"/>
      <c r="B235" s="80" t="s">
        <v>338</v>
      </c>
      <c r="C235" s="76">
        <v>88001091</v>
      </c>
      <c r="D235" s="75" t="s">
        <v>159</v>
      </c>
      <c r="E235" s="83" t="s">
        <v>457</v>
      </c>
      <c r="F235" s="76" t="s">
        <v>158</v>
      </c>
      <c r="G235" s="76">
        <v>12</v>
      </c>
      <c r="H235" s="85">
        <v>172.53</v>
      </c>
      <c r="I235" s="86">
        <v>0.2</v>
      </c>
      <c r="J235" s="85">
        <v>262.89600000000002</v>
      </c>
      <c r="K235" s="79">
        <f t="shared" si="3"/>
        <v>0.52376977916884027</v>
      </c>
      <c r="L235" s="77">
        <v>262.89600000000002</v>
      </c>
      <c r="M235" s="77">
        <v>262.89600000000002</v>
      </c>
      <c r="N235" s="78">
        <v>262.89600000000002</v>
      </c>
      <c r="O235" s="78">
        <v>262.89600000000002</v>
      </c>
      <c r="P235" s="77">
        <v>262.89600000000002</v>
      </c>
      <c r="Q235" s="77">
        <v>262.89600000000002</v>
      </c>
      <c r="R235" s="67" t="s">
        <v>187</v>
      </c>
      <c r="S235" s="75"/>
    </row>
    <row r="236" spans="1:19" ht="120" customHeight="1" x14ac:dyDescent="0.25">
      <c r="A236" s="75"/>
      <c r="B236" s="80" t="s">
        <v>339</v>
      </c>
      <c r="C236" s="76">
        <v>88001702</v>
      </c>
      <c r="D236" s="75" t="s">
        <v>159</v>
      </c>
      <c r="E236" s="83" t="s">
        <v>459</v>
      </c>
      <c r="F236" s="76" t="s">
        <v>158</v>
      </c>
      <c r="G236" s="76">
        <v>25</v>
      </c>
      <c r="H236" s="85">
        <v>82.45</v>
      </c>
      <c r="I236" s="86">
        <v>0.2</v>
      </c>
      <c r="J236" s="85">
        <v>125.63200000000001</v>
      </c>
      <c r="K236" s="79">
        <f t="shared" si="3"/>
        <v>0.52373559733171615</v>
      </c>
      <c r="L236" s="77">
        <v>125.63200000000001</v>
      </c>
      <c r="M236" s="77">
        <v>125.63200000000001</v>
      </c>
      <c r="N236" s="78">
        <v>125.63200000000001</v>
      </c>
      <c r="O236" s="78">
        <v>125.63200000000001</v>
      </c>
      <c r="P236" s="77">
        <v>125.63200000000001</v>
      </c>
      <c r="Q236" s="77">
        <v>125.63200000000001</v>
      </c>
      <c r="R236" s="67" t="s">
        <v>161</v>
      </c>
      <c r="S236" s="75"/>
    </row>
    <row r="237" spans="1:19" ht="120" customHeight="1" x14ac:dyDescent="0.25">
      <c r="A237" s="75"/>
      <c r="B237" s="80" t="s">
        <v>340</v>
      </c>
      <c r="C237" s="76">
        <v>88001703</v>
      </c>
      <c r="D237" s="75" t="s">
        <v>159</v>
      </c>
      <c r="E237" s="83" t="s">
        <v>460</v>
      </c>
      <c r="F237" s="76" t="s">
        <v>158</v>
      </c>
      <c r="G237" s="76">
        <v>20</v>
      </c>
      <c r="H237" s="85">
        <v>112.98</v>
      </c>
      <c r="I237" s="86">
        <v>0.2</v>
      </c>
      <c r="J237" s="85">
        <v>172.16</v>
      </c>
      <c r="K237" s="79">
        <f t="shared" si="3"/>
        <v>0.52380952380952372</v>
      </c>
      <c r="L237" s="77">
        <v>172.16</v>
      </c>
      <c r="M237" s="77">
        <v>172.16</v>
      </c>
      <c r="N237" s="78">
        <v>172.16</v>
      </c>
      <c r="O237" s="78">
        <v>172.16</v>
      </c>
      <c r="P237" s="77">
        <v>172.16</v>
      </c>
      <c r="Q237" s="77">
        <v>172.16</v>
      </c>
      <c r="R237" s="67" t="s">
        <v>161</v>
      </c>
      <c r="S237" s="75"/>
    </row>
    <row r="238" spans="1:19" ht="120" customHeight="1" x14ac:dyDescent="0.25">
      <c r="A238" s="75"/>
      <c r="B238" s="80" t="s">
        <v>341</v>
      </c>
      <c r="C238" s="76">
        <v>88001704</v>
      </c>
      <c r="D238" s="75" t="s">
        <v>159</v>
      </c>
      <c r="E238" s="83" t="s">
        <v>461</v>
      </c>
      <c r="F238" s="75" t="s">
        <v>158</v>
      </c>
      <c r="G238" s="76">
        <v>12</v>
      </c>
      <c r="H238" s="85">
        <v>160.32</v>
      </c>
      <c r="I238" s="86">
        <v>0.2</v>
      </c>
      <c r="J238" s="85">
        <v>244.28800000000001</v>
      </c>
      <c r="K238" s="79">
        <f t="shared" si="3"/>
        <v>0.52375249500998011</v>
      </c>
      <c r="L238" s="77">
        <v>244.28800000000001</v>
      </c>
      <c r="M238" s="77">
        <v>244.28800000000001</v>
      </c>
      <c r="N238" s="78">
        <v>244.28800000000001</v>
      </c>
      <c r="O238" s="78">
        <v>244.28800000000001</v>
      </c>
      <c r="P238" s="77">
        <v>244.28800000000001</v>
      </c>
      <c r="Q238" s="77">
        <v>244.28800000000001</v>
      </c>
      <c r="R238" s="67" t="s">
        <v>161</v>
      </c>
      <c r="S238" s="75"/>
    </row>
    <row r="239" spans="1:19" ht="120" customHeight="1" x14ac:dyDescent="0.25">
      <c r="A239" s="75"/>
      <c r="B239" s="80" t="s">
        <v>342</v>
      </c>
      <c r="C239" s="76">
        <v>88010001</v>
      </c>
      <c r="D239" s="75" t="s">
        <v>159</v>
      </c>
      <c r="E239" s="83" t="s">
        <v>457</v>
      </c>
      <c r="F239" s="76" t="s">
        <v>158</v>
      </c>
      <c r="G239" s="76">
        <v>12</v>
      </c>
      <c r="H239" s="85">
        <v>120.63000000000001</v>
      </c>
      <c r="I239" s="86">
        <v>0.2</v>
      </c>
      <c r="J239" s="85">
        <v>183.80799999999999</v>
      </c>
      <c r="K239" s="79">
        <f t="shared" si="3"/>
        <v>0.52373373124430067</v>
      </c>
      <c r="L239" s="77">
        <v>183.80799999999999</v>
      </c>
      <c r="M239" s="77">
        <v>183.80799999999999</v>
      </c>
      <c r="N239" s="78">
        <v>183.80799999999999</v>
      </c>
      <c r="O239" s="78">
        <v>183.80799999999999</v>
      </c>
      <c r="P239" s="77">
        <v>183.80799999999999</v>
      </c>
      <c r="Q239" s="77">
        <v>183.80799999999999</v>
      </c>
      <c r="R239" s="67" t="s">
        <v>187</v>
      </c>
      <c r="S239" s="75"/>
    </row>
    <row r="240" spans="1:19" ht="120" customHeight="1" x14ac:dyDescent="0.25">
      <c r="A240" s="75"/>
      <c r="B240" s="80" t="s">
        <v>343</v>
      </c>
      <c r="C240" s="76">
        <v>88010002</v>
      </c>
      <c r="D240" s="75" t="s">
        <v>159</v>
      </c>
      <c r="E240" s="83" t="s">
        <v>457</v>
      </c>
      <c r="F240" s="76" t="s">
        <v>158</v>
      </c>
      <c r="G240" s="76">
        <v>12</v>
      </c>
      <c r="H240" s="85">
        <v>122.14</v>
      </c>
      <c r="I240" s="86">
        <v>0.2</v>
      </c>
      <c r="J240" s="85">
        <v>186.11199999999999</v>
      </c>
      <c r="K240" s="79">
        <f t="shared" si="3"/>
        <v>0.52375962010807275</v>
      </c>
      <c r="L240" s="77">
        <v>186.11199999999999</v>
      </c>
      <c r="M240" s="77">
        <v>186.11199999999999</v>
      </c>
      <c r="N240" s="78">
        <v>186.11199999999999</v>
      </c>
      <c r="O240" s="78">
        <v>186.11199999999999</v>
      </c>
      <c r="P240" s="77">
        <v>186.11199999999999</v>
      </c>
      <c r="Q240" s="77">
        <v>186.11199999999999</v>
      </c>
      <c r="R240" s="67" t="s">
        <v>303</v>
      </c>
      <c r="S240" s="75"/>
    </row>
    <row r="241" spans="1:19" ht="120" customHeight="1" x14ac:dyDescent="0.25">
      <c r="A241" s="75"/>
      <c r="B241" s="80" t="s">
        <v>344</v>
      </c>
      <c r="C241" s="76">
        <v>88010003</v>
      </c>
      <c r="D241" s="75" t="s">
        <v>159</v>
      </c>
      <c r="E241" s="83" t="s">
        <v>457</v>
      </c>
      <c r="F241" s="76" t="s">
        <v>158</v>
      </c>
      <c r="G241" s="76">
        <v>12</v>
      </c>
      <c r="H241" s="85">
        <v>145.04999999999998</v>
      </c>
      <c r="I241" s="86">
        <v>0.2</v>
      </c>
      <c r="J241" s="85">
        <v>221.024</v>
      </c>
      <c r="K241" s="79">
        <f t="shared" si="3"/>
        <v>0.52377800758359205</v>
      </c>
      <c r="L241" s="77">
        <v>221.024</v>
      </c>
      <c r="M241" s="77">
        <v>221.024</v>
      </c>
      <c r="N241" s="78">
        <v>221.024</v>
      </c>
      <c r="O241" s="78">
        <v>221.024</v>
      </c>
      <c r="P241" s="77">
        <v>221.024</v>
      </c>
      <c r="Q241" s="77">
        <v>221.024</v>
      </c>
      <c r="R241" s="67" t="s">
        <v>187</v>
      </c>
      <c r="S241" s="75"/>
    </row>
    <row r="242" spans="1:19" ht="120" customHeight="1" x14ac:dyDescent="0.25">
      <c r="A242" s="75"/>
      <c r="B242" s="80" t="s">
        <v>345</v>
      </c>
      <c r="C242" s="76">
        <v>88010005</v>
      </c>
      <c r="D242" s="75" t="s">
        <v>159</v>
      </c>
      <c r="E242" s="83" t="s">
        <v>457</v>
      </c>
      <c r="F242" s="76" t="s">
        <v>158</v>
      </c>
      <c r="G242" s="76">
        <v>12</v>
      </c>
      <c r="H242" s="85">
        <v>146.57</v>
      </c>
      <c r="I242" s="86">
        <v>0.2</v>
      </c>
      <c r="J242" s="85">
        <v>223.34400000000002</v>
      </c>
      <c r="K242" s="79">
        <f t="shared" si="3"/>
        <v>0.52380432557822232</v>
      </c>
      <c r="L242" s="77">
        <v>223.34400000000002</v>
      </c>
      <c r="M242" s="77">
        <v>223.34400000000002</v>
      </c>
      <c r="N242" s="78">
        <v>223.34400000000002</v>
      </c>
      <c r="O242" s="78">
        <v>223.34400000000002</v>
      </c>
      <c r="P242" s="77">
        <v>223.34400000000002</v>
      </c>
      <c r="Q242" s="77">
        <v>223.34400000000002</v>
      </c>
      <c r="R242" s="67" t="s">
        <v>187</v>
      </c>
      <c r="S242" s="75"/>
    </row>
    <row r="243" spans="1:19" ht="120" customHeight="1" x14ac:dyDescent="0.25">
      <c r="A243" s="75"/>
      <c r="B243" s="80" t="s">
        <v>346</v>
      </c>
      <c r="C243" s="76">
        <v>88010007</v>
      </c>
      <c r="D243" s="75" t="s">
        <v>159</v>
      </c>
      <c r="E243" s="83" t="s">
        <v>457</v>
      </c>
      <c r="F243" s="76" t="s">
        <v>158</v>
      </c>
      <c r="G243" s="76">
        <v>12</v>
      </c>
      <c r="H243" s="85">
        <v>152.69</v>
      </c>
      <c r="I243" s="86">
        <v>0.2</v>
      </c>
      <c r="J243" s="85">
        <v>232.65600000000001</v>
      </c>
      <c r="K243" s="79">
        <f t="shared" si="3"/>
        <v>0.52371471609142706</v>
      </c>
      <c r="L243" s="77">
        <v>232.65600000000001</v>
      </c>
      <c r="M243" s="77">
        <v>232.65600000000001</v>
      </c>
      <c r="N243" s="78">
        <v>232.65600000000001</v>
      </c>
      <c r="O243" s="78">
        <v>232.65600000000001</v>
      </c>
      <c r="P243" s="77">
        <v>232.65600000000001</v>
      </c>
      <c r="Q243" s="77">
        <v>232.65600000000001</v>
      </c>
      <c r="R243" s="67" t="s">
        <v>161</v>
      </c>
      <c r="S243" s="75"/>
    </row>
    <row r="244" spans="1:19" ht="120" customHeight="1" x14ac:dyDescent="0.25">
      <c r="A244" s="75"/>
      <c r="B244" s="80" t="s">
        <v>347</v>
      </c>
      <c r="C244" s="76">
        <v>88010008</v>
      </c>
      <c r="D244" s="75" t="s">
        <v>159</v>
      </c>
      <c r="E244" s="83" t="s">
        <v>457</v>
      </c>
      <c r="F244" s="76" t="s">
        <v>158</v>
      </c>
      <c r="G244" s="76">
        <v>12</v>
      </c>
      <c r="H244" s="85">
        <v>145.04999999999998</v>
      </c>
      <c r="I244" s="86">
        <v>0.2</v>
      </c>
      <c r="J244" s="85">
        <v>221.024</v>
      </c>
      <c r="K244" s="79">
        <f t="shared" si="3"/>
        <v>0.52377800758359205</v>
      </c>
      <c r="L244" s="77">
        <v>221.024</v>
      </c>
      <c r="M244" s="77">
        <v>221.024</v>
      </c>
      <c r="N244" s="78">
        <v>221.024</v>
      </c>
      <c r="O244" s="78">
        <v>221.024</v>
      </c>
      <c r="P244" s="77">
        <v>221.024</v>
      </c>
      <c r="Q244" s="77">
        <v>221.024</v>
      </c>
      <c r="R244" s="67" t="s">
        <v>303</v>
      </c>
      <c r="S244" s="75"/>
    </row>
    <row r="245" spans="1:19" ht="120" customHeight="1" x14ac:dyDescent="0.25">
      <c r="A245" s="75"/>
      <c r="B245" s="80" t="s">
        <v>348</v>
      </c>
      <c r="C245" s="76">
        <v>88010011</v>
      </c>
      <c r="D245" s="75" t="s">
        <v>159</v>
      </c>
      <c r="E245" s="83" t="s">
        <v>457</v>
      </c>
      <c r="F245" s="76" t="s">
        <v>158</v>
      </c>
      <c r="G245" s="76">
        <v>12</v>
      </c>
      <c r="H245" s="85">
        <v>777.13</v>
      </c>
      <c r="I245" s="86">
        <v>0.2</v>
      </c>
      <c r="J245" s="85">
        <v>1184.192</v>
      </c>
      <c r="K245" s="79">
        <f t="shared" si="3"/>
        <v>0.52380168054250897</v>
      </c>
      <c r="L245" s="77">
        <v>1184.192</v>
      </c>
      <c r="M245" s="77">
        <v>1184.192</v>
      </c>
      <c r="N245" s="78">
        <v>1184.192</v>
      </c>
      <c r="O245" s="78">
        <v>1184.192</v>
      </c>
      <c r="P245" s="77">
        <v>1184.192</v>
      </c>
      <c r="Q245" s="77">
        <v>1184.192</v>
      </c>
      <c r="R245" s="67" t="s">
        <v>187</v>
      </c>
      <c r="S245" s="75"/>
    </row>
    <row r="246" spans="1:19" ht="120" customHeight="1" x14ac:dyDescent="0.25">
      <c r="A246" s="75"/>
      <c r="B246" s="80" t="s">
        <v>349</v>
      </c>
      <c r="C246" s="76">
        <v>88010017</v>
      </c>
      <c r="D246" s="75" t="s">
        <v>159</v>
      </c>
      <c r="E246" s="83" t="s">
        <v>458</v>
      </c>
      <c r="F246" s="76" t="s">
        <v>158</v>
      </c>
      <c r="G246" s="76">
        <v>12</v>
      </c>
      <c r="H246" s="85">
        <v>155.73999999999998</v>
      </c>
      <c r="I246" s="86">
        <v>0.2</v>
      </c>
      <c r="J246" s="85">
        <v>237.31200000000001</v>
      </c>
      <c r="K246" s="79">
        <f t="shared" si="3"/>
        <v>0.52377038654167229</v>
      </c>
      <c r="L246" s="77">
        <v>237.31200000000001</v>
      </c>
      <c r="M246" s="77">
        <v>237.31200000000001</v>
      </c>
      <c r="N246" s="78">
        <v>237.31200000000001</v>
      </c>
      <c r="O246" s="78">
        <v>237.31200000000001</v>
      </c>
      <c r="P246" s="77">
        <v>237.31200000000001</v>
      </c>
      <c r="Q246" s="77">
        <v>237.31200000000001</v>
      </c>
      <c r="R246" s="67" t="s">
        <v>303</v>
      </c>
      <c r="S246" s="75"/>
    </row>
    <row r="247" spans="1:19" ht="120" customHeight="1" x14ac:dyDescent="0.25">
      <c r="A247" s="75"/>
      <c r="B247" s="80" t="s">
        <v>350</v>
      </c>
      <c r="C247" s="76">
        <v>88010021</v>
      </c>
      <c r="D247" s="75" t="s">
        <v>159</v>
      </c>
      <c r="E247" s="83" t="s">
        <v>457</v>
      </c>
      <c r="F247" s="76" t="s">
        <v>158</v>
      </c>
      <c r="G247" s="76">
        <v>12</v>
      </c>
      <c r="H247" s="85">
        <v>155.73999999999998</v>
      </c>
      <c r="I247" s="86">
        <v>0.2</v>
      </c>
      <c r="J247" s="85">
        <v>237.31200000000001</v>
      </c>
      <c r="K247" s="79">
        <f t="shared" si="3"/>
        <v>0.52377038654167229</v>
      </c>
      <c r="L247" s="77">
        <v>237.31200000000001</v>
      </c>
      <c r="M247" s="77">
        <v>237.31200000000001</v>
      </c>
      <c r="N247" s="78">
        <v>237.31200000000001</v>
      </c>
      <c r="O247" s="78">
        <v>237.31200000000001</v>
      </c>
      <c r="P247" s="77">
        <v>237.31200000000001</v>
      </c>
      <c r="Q247" s="77">
        <v>237.31200000000001</v>
      </c>
      <c r="R247" s="67" t="s">
        <v>187</v>
      </c>
      <c r="S247" s="75"/>
    </row>
    <row r="248" spans="1:19" ht="120" customHeight="1" x14ac:dyDescent="0.25">
      <c r="A248" s="75"/>
      <c r="B248" s="80" t="s">
        <v>351</v>
      </c>
      <c r="C248" s="76">
        <v>88010022</v>
      </c>
      <c r="D248" s="75" t="s">
        <v>159</v>
      </c>
      <c r="E248" s="83" t="s">
        <v>457</v>
      </c>
      <c r="F248" s="76" t="s">
        <v>158</v>
      </c>
      <c r="G248" s="76">
        <v>12</v>
      </c>
      <c r="H248" s="85">
        <v>116.03</v>
      </c>
      <c r="I248" s="86">
        <v>0.2</v>
      </c>
      <c r="J248" s="85">
        <v>176.8</v>
      </c>
      <c r="K248" s="79">
        <f t="shared" si="3"/>
        <v>0.52374385934672074</v>
      </c>
      <c r="L248" s="77">
        <v>176.8</v>
      </c>
      <c r="M248" s="77">
        <v>176.8</v>
      </c>
      <c r="N248" s="78">
        <v>176.8</v>
      </c>
      <c r="O248" s="78">
        <v>176.8</v>
      </c>
      <c r="P248" s="77">
        <v>176.8</v>
      </c>
      <c r="Q248" s="77">
        <v>176.8</v>
      </c>
      <c r="R248" s="67" t="s">
        <v>303</v>
      </c>
      <c r="S248" s="75"/>
    </row>
    <row r="249" spans="1:19" ht="120" customHeight="1" x14ac:dyDescent="0.25">
      <c r="A249" s="75"/>
      <c r="B249" s="80" t="s">
        <v>352</v>
      </c>
      <c r="C249" s="76">
        <v>88010023</v>
      </c>
      <c r="D249" s="75" t="s">
        <v>159</v>
      </c>
      <c r="E249" s="83" t="s">
        <v>457</v>
      </c>
      <c r="F249" s="76" t="s">
        <v>158</v>
      </c>
      <c r="G249" s="76">
        <v>12</v>
      </c>
      <c r="H249" s="85">
        <v>190.85</v>
      </c>
      <c r="I249" s="86">
        <v>0.2</v>
      </c>
      <c r="J249" s="85">
        <v>290.81599999999997</v>
      </c>
      <c r="K249" s="79">
        <f t="shared" si="3"/>
        <v>0.52379355514802195</v>
      </c>
      <c r="L249" s="77">
        <v>290.81599999999997</v>
      </c>
      <c r="M249" s="77">
        <v>290.81599999999997</v>
      </c>
      <c r="N249" s="78">
        <v>290.81599999999997</v>
      </c>
      <c r="O249" s="78">
        <v>290.81599999999997</v>
      </c>
      <c r="P249" s="77">
        <v>290.81599999999997</v>
      </c>
      <c r="Q249" s="77">
        <v>290.81599999999997</v>
      </c>
      <c r="R249" s="67" t="s">
        <v>187</v>
      </c>
      <c r="S249" s="75"/>
    </row>
    <row r="250" spans="1:19" ht="120" customHeight="1" x14ac:dyDescent="0.25">
      <c r="A250" s="75"/>
      <c r="B250" s="80" t="s">
        <v>353</v>
      </c>
      <c r="C250" s="76">
        <v>88010028</v>
      </c>
      <c r="D250" s="75" t="s">
        <v>159</v>
      </c>
      <c r="E250" s="83" t="s">
        <v>457</v>
      </c>
      <c r="F250" s="76" t="s">
        <v>158</v>
      </c>
      <c r="G250" s="76">
        <v>12</v>
      </c>
      <c r="H250" s="85">
        <v>143.53</v>
      </c>
      <c r="I250" s="86">
        <v>0.2</v>
      </c>
      <c r="J250" s="85">
        <v>218.70400000000001</v>
      </c>
      <c r="K250" s="79">
        <f t="shared" si="3"/>
        <v>0.52375113216749125</v>
      </c>
      <c r="L250" s="77">
        <v>218.70400000000001</v>
      </c>
      <c r="M250" s="77">
        <v>218.70400000000001</v>
      </c>
      <c r="N250" s="78">
        <v>218.70400000000001</v>
      </c>
      <c r="O250" s="78">
        <v>218.70400000000001</v>
      </c>
      <c r="P250" s="77">
        <v>218.70400000000001</v>
      </c>
      <c r="Q250" s="77">
        <v>218.70400000000001</v>
      </c>
      <c r="R250" s="67" t="s">
        <v>303</v>
      </c>
      <c r="S250" s="75"/>
    </row>
    <row r="251" spans="1:19" ht="120" customHeight="1" x14ac:dyDescent="0.25">
      <c r="A251" s="75"/>
      <c r="B251" s="80" t="s">
        <v>354</v>
      </c>
      <c r="C251" s="76">
        <v>88010029</v>
      </c>
      <c r="D251" s="75" t="s">
        <v>159</v>
      </c>
      <c r="E251" s="75" t="s">
        <v>457</v>
      </c>
      <c r="F251" s="76" t="s">
        <v>158</v>
      </c>
      <c r="G251" s="76">
        <v>12</v>
      </c>
      <c r="H251" s="85">
        <v>164.89999999999998</v>
      </c>
      <c r="I251" s="86">
        <v>0.2</v>
      </c>
      <c r="J251" s="85">
        <v>251.26400000000001</v>
      </c>
      <c r="K251" s="79">
        <f t="shared" si="3"/>
        <v>0.52373559733171637</v>
      </c>
      <c r="L251" s="77">
        <v>251.26400000000001</v>
      </c>
      <c r="M251" s="77">
        <v>251.26400000000001</v>
      </c>
      <c r="N251" s="78">
        <v>251.26400000000001</v>
      </c>
      <c r="O251" s="78">
        <v>251.26400000000001</v>
      </c>
      <c r="P251" s="77">
        <v>251.26400000000001</v>
      </c>
      <c r="Q251" s="77">
        <v>251.26400000000001</v>
      </c>
      <c r="R251" s="67" t="s">
        <v>303</v>
      </c>
      <c r="S251" s="75"/>
    </row>
    <row r="252" spans="1:19" ht="120" customHeight="1" x14ac:dyDescent="0.25">
      <c r="A252" s="75"/>
      <c r="B252" s="80" t="s">
        <v>355</v>
      </c>
      <c r="C252" s="76">
        <v>88010035</v>
      </c>
      <c r="D252" s="75" t="s">
        <v>159</v>
      </c>
      <c r="E252" s="83" t="s">
        <v>457</v>
      </c>
      <c r="F252" s="76" t="s">
        <v>158</v>
      </c>
      <c r="G252" s="76">
        <v>12</v>
      </c>
      <c r="H252" s="85">
        <v>404.59999999999997</v>
      </c>
      <c r="I252" s="86">
        <v>0.2</v>
      </c>
      <c r="J252" s="85">
        <v>616.52800000000002</v>
      </c>
      <c r="K252" s="79">
        <f t="shared" si="3"/>
        <v>0.52379634206623837</v>
      </c>
      <c r="L252" s="77">
        <v>616.52800000000002</v>
      </c>
      <c r="M252" s="77">
        <v>616.52800000000002</v>
      </c>
      <c r="N252" s="78">
        <v>616.52800000000002</v>
      </c>
      <c r="O252" s="78">
        <v>616.52800000000002</v>
      </c>
      <c r="P252" s="77">
        <v>616.52800000000002</v>
      </c>
      <c r="Q252" s="77">
        <v>616.52800000000002</v>
      </c>
      <c r="R252" s="67" t="s">
        <v>161</v>
      </c>
      <c r="S252" s="75"/>
    </row>
    <row r="253" spans="1:19" ht="120" customHeight="1" x14ac:dyDescent="0.25">
      <c r="A253" s="75"/>
      <c r="B253" s="80" t="s">
        <v>356</v>
      </c>
      <c r="C253" s="76">
        <v>88010082</v>
      </c>
      <c r="D253" s="75" t="s">
        <v>159</v>
      </c>
      <c r="E253" s="83" t="s">
        <v>458</v>
      </c>
      <c r="F253" s="76" t="s">
        <v>158</v>
      </c>
      <c r="G253" s="76">
        <v>12</v>
      </c>
      <c r="H253" s="85">
        <v>203.06</v>
      </c>
      <c r="I253" s="86">
        <v>0.2</v>
      </c>
      <c r="J253" s="85">
        <v>309.42399999999998</v>
      </c>
      <c r="K253" s="79">
        <f t="shared" si="3"/>
        <v>0.5238057716930955</v>
      </c>
      <c r="L253" s="77">
        <v>309.42399999999998</v>
      </c>
      <c r="M253" s="77">
        <v>309.42399999999998</v>
      </c>
      <c r="N253" s="78">
        <v>309.42399999999998</v>
      </c>
      <c r="O253" s="78">
        <v>309.42399999999998</v>
      </c>
      <c r="P253" s="77">
        <v>309.42399999999998</v>
      </c>
      <c r="Q253" s="77">
        <v>309.42399999999998</v>
      </c>
      <c r="R253" s="67" t="s">
        <v>303</v>
      </c>
      <c r="S253" s="75"/>
    </row>
    <row r="254" spans="1:19" ht="120" customHeight="1" x14ac:dyDescent="0.25">
      <c r="A254" s="75"/>
      <c r="B254" s="80" t="s">
        <v>357</v>
      </c>
      <c r="C254" s="76">
        <v>88010091</v>
      </c>
      <c r="D254" s="75" t="s">
        <v>159</v>
      </c>
      <c r="E254" s="83" t="s">
        <v>457</v>
      </c>
      <c r="F254" s="76" t="s">
        <v>158</v>
      </c>
      <c r="G254" s="76">
        <v>12</v>
      </c>
      <c r="H254" s="85">
        <v>172.53</v>
      </c>
      <c r="I254" s="86">
        <v>0.2</v>
      </c>
      <c r="J254" s="85">
        <v>262.89600000000002</v>
      </c>
      <c r="K254" s="79">
        <f t="shared" si="3"/>
        <v>0.52376977916884027</v>
      </c>
      <c r="L254" s="77">
        <v>262.89600000000002</v>
      </c>
      <c r="M254" s="77">
        <v>262.89600000000002</v>
      </c>
      <c r="N254" s="78">
        <v>262.89600000000002</v>
      </c>
      <c r="O254" s="78">
        <v>262.89600000000002</v>
      </c>
      <c r="P254" s="77">
        <v>262.89600000000002</v>
      </c>
      <c r="Q254" s="77">
        <v>262.89600000000002</v>
      </c>
      <c r="R254" s="67" t="s">
        <v>187</v>
      </c>
      <c r="S254" s="75"/>
    </row>
    <row r="255" spans="1:19" ht="120" customHeight="1" x14ac:dyDescent="0.25">
      <c r="A255" s="75"/>
      <c r="B255" s="80" t="s">
        <v>358</v>
      </c>
      <c r="C255" s="76">
        <v>88010702</v>
      </c>
      <c r="D255" s="75" t="s">
        <v>159</v>
      </c>
      <c r="E255" s="83" t="s">
        <v>459</v>
      </c>
      <c r="F255" s="76" t="s">
        <v>158</v>
      </c>
      <c r="G255" s="76">
        <v>25</v>
      </c>
      <c r="H255" s="85">
        <v>82.45</v>
      </c>
      <c r="I255" s="86">
        <v>0.2</v>
      </c>
      <c r="J255" s="85">
        <v>125.63200000000001</v>
      </c>
      <c r="K255" s="79">
        <f t="shared" si="3"/>
        <v>0.52373559733171615</v>
      </c>
      <c r="L255" s="77">
        <v>125.63200000000001</v>
      </c>
      <c r="M255" s="77">
        <v>125.63200000000001</v>
      </c>
      <c r="N255" s="78">
        <v>125.63200000000001</v>
      </c>
      <c r="O255" s="78">
        <v>125.63200000000001</v>
      </c>
      <c r="P255" s="77">
        <v>125.63200000000001</v>
      </c>
      <c r="Q255" s="77">
        <v>125.63200000000001</v>
      </c>
      <c r="R255" s="67" t="s">
        <v>161</v>
      </c>
      <c r="S255" s="75"/>
    </row>
    <row r="256" spans="1:19" ht="120" customHeight="1" x14ac:dyDescent="0.25">
      <c r="A256" s="75"/>
      <c r="B256" s="80" t="s">
        <v>359</v>
      </c>
      <c r="C256" s="76">
        <v>88010703</v>
      </c>
      <c r="D256" s="75" t="s">
        <v>159</v>
      </c>
      <c r="E256" s="83" t="s">
        <v>460</v>
      </c>
      <c r="F256" s="76" t="s">
        <v>158</v>
      </c>
      <c r="G256" s="76">
        <v>20</v>
      </c>
      <c r="H256" s="85">
        <v>112.98</v>
      </c>
      <c r="I256" s="86">
        <v>0.2</v>
      </c>
      <c r="J256" s="85">
        <v>172.16</v>
      </c>
      <c r="K256" s="79">
        <f t="shared" si="3"/>
        <v>0.52380952380952372</v>
      </c>
      <c r="L256" s="77">
        <v>172.16</v>
      </c>
      <c r="M256" s="77">
        <v>172.16</v>
      </c>
      <c r="N256" s="78">
        <v>172.16</v>
      </c>
      <c r="O256" s="78">
        <v>172.16</v>
      </c>
      <c r="P256" s="77">
        <v>172.16</v>
      </c>
      <c r="Q256" s="77">
        <v>172.16</v>
      </c>
      <c r="R256" s="67" t="s">
        <v>161</v>
      </c>
      <c r="S256" s="75"/>
    </row>
    <row r="257" spans="1:19" ht="120" customHeight="1" x14ac:dyDescent="0.25">
      <c r="A257" s="75"/>
      <c r="B257" s="80" t="s">
        <v>360</v>
      </c>
      <c r="C257" s="76">
        <v>88010704</v>
      </c>
      <c r="D257" s="75" t="s">
        <v>159</v>
      </c>
      <c r="E257" s="83" t="s">
        <v>461</v>
      </c>
      <c r="F257" s="75" t="s">
        <v>158</v>
      </c>
      <c r="G257" s="76">
        <v>12</v>
      </c>
      <c r="H257" s="85">
        <v>160.32</v>
      </c>
      <c r="I257" s="86">
        <v>0.2</v>
      </c>
      <c r="J257" s="85">
        <v>244.28800000000001</v>
      </c>
      <c r="K257" s="79">
        <f t="shared" si="3"/>
        <v>0.52375249500998011</v>
      </c>
      <c r="L257" s="77">
        <v>244.28800000000001</v>
      </c>
      <c r="M257" s="77">
        <v>244.28800000000001</v>
      </c>
      <c r="N257" s="78">
        <v>244.28800000000001</v>
      </c>
      <c r="O257" s="78">
        <v>244.28800000000001</v>
      </c>
      <c r="P257" s="77">
        <v>244.28800000000001</v>
      </c>
      <c r="Q257" s="77">
        <v>244.28800000000001</v>
      </c>
      <c r="R257" s="67" t="s">
        <v>161</v>
      </c>
      <c r="S257" s="75"/>
    </row>
    <row r="258" spans="1:19" ht="120" customHeight="1" x14ac:dyDescent="0.25">
      <c r="A258" s="75"/>
      <c r="B258" s="80" t="s">
        <v>361</v>
      </c>
      <c r="C258" s="76">
        <v>88050001</v>
      </c>
      <c r="D258" s="75" t="s">
        <v>159</v>
      </c>
      <c r="E258" s="83" t="s">
        <v>457</v>
      </c>
      <c r="F258" s="76" t="s">
        <v>158</v>
      </c>
      <c r="G258" s="76">
        <v>12</v>
      </c>
      <c r="H258" s="85">
        <v>178.64</v>
      </c>
      <c r="I258" s="86">
        <v>0.2</v>
      </c>
      <c r="J258" s="85">
        <v>272.20800000000003</v>
      </c>
      <c r="K258" s="79">
        <f t="shared" si="3"/>
        <v>0.52377966860725511</v>
      </c>
      <c r="L258" s="77">
        <v>272.20800000000003</v>
      </c>
      <c r="M258" s="77">
        <v>272.20800000000003</v>
      </c>
      <c r="N258" s="78">
        <v>272.20800000000003</v>
      </c>
      <c r="O258" s="78">
        <v>272.20800000000003</v>
      </c>
      <c r="P258" s="77">
        <v>272.20800000000003</v>
      </c>
      <c r="Q258" s="77">
        <v>272.20800000000003</v>
      </c>
      <c r="R258" s="67" t="s">
        <v>187</v>
      </c>
      <c r="S258" s="75"/>
    </row>
    <row r="259" spans="1:19" ht="120" customHeight="1" x14ac:dyDescent="0.25">
      <c r="A259" s="75"/>
      <c r="B259" s="80" t="s">
        <v>362</v>
      </c>
      <c r="C259" s="76">
        <v>88050003</v>
      </c>
      <c r="D259" s="75" t="s">
        <v>159</v>
      </c>
      <c r="E259" s="83" t="s">
        <v>457</v>
      </c>
      <c r="F259" s="76" t="s">
        <v>158</v>
      </c>
      <c r="G259" s="76">
        <v>12</v>
      </c>
      <c r="H259" s="85">
        <v>210.7</v>
      </c>
      <c r="I259" s="86">
        <v>0.2</v>
      </c>
      <c r="J259" s="85">
        <v>321.05600000000004</v>
      </c>
      <c r="K259" s="79">
        <f t="shared" si="3"/>
        <v>0.52375889890840077</v>
      </c>
      <c r="L259" s="77">
        <v>321.05600000000004</v>
      </c>
      <c r="M259" s="77">
        <v>321.05600000000004</v>
      </c>
      <c r="N259" s="78">
        <v>321.05600000000004</v>
      </c>
      <c r="O259" s="78">
        <v>321.05600000000004</v>
      </c>
      <c r="P259" s="77">
        <v>321.05600000000004</v>
      </c>
      <c r="Q259" s="77">
        <v>321.05600000000004</v>
      </c>
      <c r="R259" s="67" t="s">
        <v>187</v>
      </c>
      <c r="S259" s="75"/>
    </row>
    <row r="260" spans="1:19" ht="120" customHeight="1" x14ac:dyDescent="0.25">
      <c r="A260" s="75"/>
      <c r="B260" s="80" t="s">
        <v>363</v>
      </c>
      <c r="C260" s="76">
        <v>88050005</v>
      </c>
      <c r="D260" s="75" t="s">
        <v>159</v>
      </c>
      <c r="E260" s="83" t="s">
        <v>457</v>
      </c>
      <c r="F260" s="76" t="s">
        <v>158</v>
      </c>
      <c r="G260" s="76">
        <v>12</v>
      </c>
      <c r="H260" s="85">
        <v>203.06</v>
      </c>
      <c r="I260" s="86">
        <v>0.2</v>
      </c>
      <c r="J260" s="85">
        <v>309.42399999999998</v>
      </c>
      <c r="K260" s="79">
        <f t="shared" si="3"/>
        <v>0.5238057716930955</v>
      </c>
      <c r="L260" s="77">
        <v>309.42399999999998</v>
      </c>
      <c r="M260" s="77">
        <v>309.42399999999998</v>
      </c>
      <c r="N260" s="78">
        <v>309.42399999999998</v>
      </c>
      <c r="O260" s="78">
        <v>309.42399999999998</v>
      </c>
      <c r="P260" s="77">
        <v>309.42399999999998</v>
      </c>
      <c r="Q260" s="77">
        <v>309.42399999999998</v>
      </c>
      <c r="R260" s="67" t="s">
        <v>187</v>
      </c>
      <c r="S260" s="75"/>
    </row>
    <row r="261" spans="1:19" ht="120" customHeight="1" x14ac:dyDescent="0.25">
      <c r="A261" s="75"/>
      <c r="B261" s="80" t="s">
        <v>364</v>
      </c>
      <c r="C261" s="76">
        <v>88050007</v>
      </c>
      <c r="D261" s="75" t="s">
        <v>159</v>
      </c>
      <c r="E261" s="83" t="s">
        <v>457</v>
      </c>
      <c r="F261" s="76" t="s">
        <v>158</v>
      </c>
      <c r="G261" s="76">
        <v>12</v>
      </c>
      <c r="H261" s="85">
        <v>204.6</v>
      </c>
      <c r="I261" s="86">
        <v>0.2</v>
      </c>
      <c r="J261" s="85">
        <v>311.76</v>
      </c>
      <c r="K261" s="79">
        <f t="shared" si="3"/>
        <v>0.52375366568914949</v>
      </c>
      <c r="L261" s="77">
        <v>311.76</v>
      </c>
      <c r="M261" s="77">
        <v>311.76</v>
      </c>
      <c r="N261" s="78">
        <v>311.76</v>
      </c>
      <c r="O261" s="78">
        <v>311.76</v>
      </c>
      <c r="P261" s="77">
        <v>311.76</v>
      </c>
      <c r="Q261" s="77">
        <v>311.76</v>
      </c>
      <c r="R261" s="67" t="s">
        <v>161</v>
      </c>
      <c r="S261" s="75"/>
    </row>
    <row r="262" spans="1:19" ht="120" customHeight="1" x14ac:dyDescent="0.25">
      <c r="A262" s="75"/>
      <c r="B262" s="80" t="s">
        <v>365</v>
      </c>
      <c r="C262" s="76">
        <v>88050011</v>
      </c>
      <c r="D262" s="75" t="s">
        <v>159</v>
      </c>
      <c r="E262" s="83" t="s">
        <v>457</v>
      </c>
      <c r="F262" s="76" t="s">
        <v>158</v>
      </c>
      <c r="G262" s="76">
        <v>12</v>
      </c>
      <c r="H262" s="85">
        <v>847.35</v>
      </c>
      <c r="I262" s="86">
        <v>0.2</v>
      </c>
      <c r="J262" s="85">
        <v>1291.2</v>
      </c>
      <c r="K262" s="79">
        <f t="shared" si="3"/>
        <v>0.52380952380952372</v>
      </c>
      <c r="L262" s="77">
        <v>1291.2</v>
      </c>
      <c r="M262" s="77">
        <v>1291.2</v>
      </c>
      <c r="N262" s="78">
        <v>1291.2</v>
      </c>
      <c r="O262" s="78">
        <v>1291.2</v>
      </c>
      <c r="P262" s="77">
        <v>1291.2</v>
      </c>
      <c r="Q262" s="77">
        <v>1291.2</v>
      </c>
      <c r="R262" s="67" t="s">
        <v>187</v>
      </c>
      <c r="S262" s="75"/>
    </row>
    <row r="263" spans="1:19" ht="120" customHeight="1" x14ac:dyDescent="0.25">
      <c r="A263" s="75"/>
      <c r="B263" s="80" t="s">
        <v>366</v>
      </c>
      <c r="C263" s="76">
        <v>88050017</v>
      </c>
      <c r="D263" s="75" t="s">
        <v>159</v>
      </c>
      <c r="E263" s="83" t="s">
        <v>458</v>
      </c>
      <c r="F263" s="76" t="s">
        <v>158</v>
      </c>
      <c r="G263" s="76">
        <v>12</v>
      </c>
      <c r="H263" s="85">
        <v>233.6</v>
      </c>
      <c r="I263" s="86">
        <v>0.2</v>
      </c>
      <c r="J263" s="85">
        <v>355.952</v>
      </c>
      <c r="K263" s="79">
        <f t="shared" si="3"/>
        <v>0.52376712328767128</v>
      </c>
      <c r="L263" s="77">
        <v>355.952</v>
      </c>
      <c r="M263" s="77">
        <v>355.952</v>
      </c>
      <c r="N263" s="78">
        <v>355.952</v>
      </c>
      <c r="O263" s="78">
        <v>355.952</v>
      </c>
      <c r="P263" s="77">
        <v>355.952</v>
      </c>
      <c r="Q263" s="77">
        <v>355.952</v>
      </c>
      <c r="R263" s="67" t="s">
        <v>303</v>
      </c>
      <c r="S263" s="75"/>
    </row>
    <row r="264" spans="1:19" ht="120" customHeight="1" x14ac:dyDescent="0.25">
      <c r="A264" s="75"/>
      <c r="B264" s="80" t="s">
        <v>367</v>
      </c>
      <c r="C264" s="76">
        <v>88050021</v>
      </c>
      <c r="D264" s="75" t="s">
        <v>159</v>
      </c>
      <c r="E264" s="83" t="s">
        <v>457</v>
      </c>
      <c r="F264" s="76" t="s">
        <v>158</v>
      </c>
      <c r="G264" s="76">
        <v>12</v>
      </c>
      <c r="H264" s="85">
        <v>210.7</v>
      </c>
      <c r="I264" s="86">
        <v>0.2</v>
      </c>
      <c r="J264" s="85">
        <v>321.05600000000004</v>
      </c>
      <c r="K264" s="79">
        <f t="shared" si="3"/>
        <v>0.52375889890840077</v>
      </c>
      <c r="L264" s="77">
        <v>321.05600000000004</v>
      </c>
      <c r="M264" s="77">
        <v>321.05600000000004</v>
      </c>
      <c r="N264" s="78">
        <v>321.05600000000004</v>
      </c>
      <c r="O264" s="78">
        <v>321.05600000000004</v>
      </c>
      <c r="P264" s="77">
        <v>321.05600000000004</v>
      </c>
      <c r="Q264" s="77">
        <v>321.05600000000004</v>
      </c>
      <c r="R264" s="67" t="s">
        <v>187</v>
      </c>
      <c r="S264" s="75"/>
    </row>
    <row r="265" spans="1:19" ht="120" customHeight="1" x14ac:dyDescent="0.25">
      <c r="A265" s="75"/>
      <c r="B265" s="80" t="s">
        <v>368</v>
      </c>
      <c r="C265" s="76">
        <v>88050022</v>
      </c>
      <c r="D265" s="75" t="s">
        <v>159</v>
      </c>
      <c r="E265" s="83" t="s">
        <v>457</v>
      </c>
      <c r="F265" s="76" t="s">
        <v>158</v>
      </c>
      <c r="G265" s="76">
        <v>12</v>
      </c>
      <c r="H265" s="85">
        <v>175.59</v>
      </c>
      <c r="I265" s="86">
        <v>0.2</v>
      </c>
      <c r="J265" s="85">
        <v>267.55200000000002</v>
      </c>
      <c r="K265" s="79">
        <f t="shared" si="3"/>
        <v>0.52373141978472582</v>
      </c>
      <c r="L265" s="77">
        <v>267.55200000000002</v>
      </c>
      <c r="M265" s="77">
        <v>267.55200000000002</v>
      </c>
      <c r="N265" s="78">
        <v>267.55200000000002</v>
      </c>
      <c r="O265" s="78">
        <v>267.55200000000002</v>
      </c>
      <c r="P265" s="77">
        <v>267.55200000000002</v>
      </c>
      <c r="Q265" s="77">
        <v>267.55200000000002</v>
      </c>
      <c r="R265" s="67" t="s">
        <v>303</v>
      </c>
      <c r="S265" s="75"/>
    </row>
    <row r="266" spans="1:19" ht="120" customHeight="1" x14ac:dyDescent="0.25">
      <c r="A266" s="75"/>
      <c r="B266" s="80" t="s">
        <v>369</v>
      </c>
      <c r="C266" s="76">
        <v>88050023</v>
      </c>
      <c r="D266" s="75" t="s">
        <v>159</v>
      </c>
      <c r="E266" s="83" t="s">
        <v>457</v>
      </c>
      <c r="F266" s="76" t="s">
        <v>158</v>
      </c>
      <c r="G266" s="76">
        <v>12</v>
      </c>
      <c r="H266" s="85">
        <v>251.92</v>
      </c>
      <c r="I266" s="86">
        <v>0.2</v>
      </c>
      <c r="J266" s="85">
        <v>383.87200000000001</v>
      </c>
      <c r="K266" s="79">
        <f t="shared" si="3"/>
        <v>0.52378532867577032</v>
      </c>
      <c r="L266" s="77">
        <v>383.87200000000001</v>
      </c>
      <c r="M266" s="77">
        <v>383.87200000000001</v>
      </c>
      <c r="N266" s="78">
        <v>383.87200000000001</v>
      </c>
      <c r="O266" s="78">
        <v>383.87200000000001</v>
      </c>
      <c r="P266" s="77">
        <v>383.87200000000001</v>
      </c>
      <c r="Q266" s="77">
        <v>383.87200000000001</v>
      </c>
      <c r="R266" s="67" t="s">
        <v>187</v>
      </c>
      <c r="S266" s="75"/>
    </row>
    <row r="267" spans="1:19" ht="120" customHeight="1" x14ac:dyDescent="0.25">
      <c r="A267" s="75"/>
      <c r="B267" s="80" t="s">
        <v>370</v>
      </c>
      <c r="C267" s="76">
        <v>88050028</v>
      </c>
      <c r="D267" s="75" t="s">
        <v>159</v>
      </c>
      <c r="E267" s="83" t="s">
        <v>457</v>
      </c>
      <c r="F267" s="76" t="s">
        <v>158</v>
      </c>
      <c r="G267" s="76">
        <v>12</v>
      </c>
      <c r="H267" s="85">
        <v>200.01</v>
      </c>
      <c r="I267" s="86">
        <v>0.2</v>
      </c>
      <c r="J267" s="85">
        <v>304.76799999999997</v>
      </c>
      <c r="K267" s="79">
        <f t="shared" si="3"/>
        <v>0.52376381180940945</v>
      </c>
      <c r="L267" s="77">
        <v>304.76799999999997</v>
      </c>
      <c r="M267" s="77">
        <v>304.76799999999997</v>
      </c>
      <c r="N267" s="78">
        <v>304.76799999999997</v>
      </c>
      <c r="O267" s="78">
        <v>304.76799999999997</v>
      </c>
      <c r="P267" s="77">
        <v>304.76799999999997</v>
      </c>
      <c r="Q267" s="77">
        <v>304.76799999999997</v>
      </c>
      <c r="R267" s="67" t="s">
        <v>303</v>
      </c>
      <c r="S267" s="75"/>
    </row>
    <row r="268" spans="1:19" ht="120" customHeight="1" x14ac:dyDescent="0.25">
      <c r="A268" s="75"/>
      <c r="B268" s="80" t="s">
        <v>371</v>
      </c>
      <c r="C268" s="76">
        <v>88050029</v>
      </c>
      <c r="D268" s="75" t="s">
        <v>159</v>
      </c>
      <c r="E268" s="83" t="s">
        <v>457</v>
      </c>
      <c r="F268" s="76" t="s">
        <v>158</v>
      </c>
      <c r="G268" s="76">
        <v>12</v>
      </c>
      <c r="H268" s="85">
        <v>232.07999999999998</v>
      </c>
      <c r="I268" s="86">
        <v>0.2</v>
      </c>
      <c r="J268" s="85">
        <v>353.63200000000006</v>
      </c>
      <c r="K268" s="79">
        <f t="shared" ref="K268:K331" si="4">+J268/H268-1</f>
        <v>0.52375043088590179</v>
      </c>
      <c r="L268" s="77">
        <v>353.63200000000006</v>
      </c>
      <c r="M268" s="77">
        <v>353.63200000000006</v>
      </c>
      <c r="N268" s="78">
        <v>353.63200000000006</v>
      </c>
      <c r="O268" s="78">
        <v>353.63200000000006</v>
      </c>
      <c r="P268" s="77">
        <v>353.63200000000006</v>
      </c>
      <c r="Q268" s="77">
        <v>353.63200000000006</v>
      </c>
      <c r="R268" s="67" t="s">
        <v>303</v>
      </c>
      <c r="S268" s="75"/>
    </row>
    <row r="269" spans="1:19" ht="120" customHeight="1" x14ac:dyDescent="0.25">
      <c r="A269" s="75"/>
      <c r="B269" s="80" t="s">
        <v>372</v>
      </c>
      <c r="C269" s="76">
        <v>88050035</v>
      </c>
      <c r="D269" s="75" t="s">
        <v>159</v>
      </c>
      <c r="E269" s="83" t="s">
        <v>457</v>
      </c>
      <c r="F269" s="76" t="s">
        <v>158</v>
      </c>
      <c r="G269" s="76">
        <v>12</v>
      </c>
      <c r="H269" s="85">
        <v>441.25</v>
      </c>
      <c r="I269" s="86">
        <v>0.2</v>
      </c>
      <c r="J269" s="85">
        <v>672.36800000000005</v>
      </c>
      <c r="K269" s="79">
        <f t="shared" si="4"/>
        <v>0.52378016997167154</v>
      </c>
      <c r="L269" s="77">
        <v>672.36800000000005</v>
      </c>
      <c r="M269" s="77">
        <v>672.36800000000005</v>
      </c>
      <c r="N269" s="78">
        <v>672.36800000000005</v>
      </c>
      <c r="O269" s="78">
        <v>672.36800000000005</v>
      </c>
      <c r="P269" s="77">
        <v>672.36800000000005</v>
      </c>
      <c r="Q269" s="77">
        <v>672.36800000000005</v>
      </c>
      <c r="R269" s="67" t="s">
        <v>161</v>
      </c>
      <c r="S269" s="75"/>
    </row>
    <row r="270" spans="1:19" ht="120" customHeight="1" x14ac:dyDescent="0.25">
      <c r="A270" s="75"/>
      <c r="B270" s="80" t="s">
        <v>373</v>
      </c>
      <c r="C270" s="76">
        <v>88050082</v>
      </c>
      <c r="D270" s="75" t="s">
        <v>159</v>
      </c>
      <c r="E270" s="83" t="s">
        <v>458</v>
      </c>
      <c r="F270" s="76" t="s">
        <v>158</v>
      </c>
      <c r="G270" s="76">
        <v>12</v>
      </c>
      <c r="H270" s="85">
        <v>261.08</v>
      </c>
      <c r="I270" s="86">
        <v>0.2</v>
      </c>
      <c r="J270" s="85">
        <v>397.82400000000001</v>
      </c>
      <c r="K270" s="79">
        <f t="shared" si="4"/>
        <v>0.52376283131607182</v>
      </c>
      <c r="L270" s="77">
        <v>397.82400000000001</v>
      </c>
      <c r="M270" s="77">
        <v>397.82400000000001</v>
      </c>
      <c r="N270" s="78">
        <v>397.82400000000001</v>
      </c>
      <c r="O270" s="78">
        <v>397.82400000000001</v>
      </c>
      <c r="P270" s="77">
        <v>397.82400000000001</v>
      </c>
      <c r="Q270" s="77">
        <v>397.82400000000001</v>
      </c>
      <c r="R270" s="67" t="s">
        <v>303</v>
      </c>
      <c r="S270" s="75"/>
    </row>
    <row r="271" spans="1:19" ht="120" customHeight="1" x14ac:dyDescent="0.25">
      <c r="A271" s="75"/>
      <c r="B271" s="80" t="s">
        <v>374</v>
      </c>
      <c r="C271" s="76">
        <v>88050091</v>
      </c>
      <c r="D271" s="75" t="s">
        <v>159</v>
      </c>
      <c r="E271" s="83" t="s">
        <v>457</v>
      </c>
      <c r="F271" s="76" t="s">
        <v>158</v>
      </c>
      <c r="G271" s="76">
        <v>12</v>
      </c>
      <c r="H271" s="85">
        <v>235.13</v>
      </c>
      <c r="I271" s="86">
        <v>0.2</v>
      </c>
      <c r="J271" s="85">
        <v>358.28800000000001</v>
      </c>
      <c r="K271" s="79">
        <f t="shared" si="4"/>
        <v>0.52378684132182207</v>
      </c>
      <c r="L271" s="77">
        <v>358.28800000000001</v>
      </c>
      <c r="M271" s="77">
        <v>358.28800000000001</v>
      </c>
      <c r="N271" s="78">
        <v>358.28800000000001</v>
      </c>
      <c r="O271" s="78">
        <v>358.28800000000001</v>
      </c>
      <c r="P271" s="77">
        <v>358.28800000000001</v>
      </c>
      <c r="Q271" s="77">
        <v>358.28800000000001</v>
      </c>
      <c r="R271" s="67" t="s">
        <v>187</v>
      </c>
      <c r="S271" s="75"/>
    </row>
    <row r="272" spans="1:19" ht="120" customHeight="1" x14ac:dyDescent="0.25">
      <c r="A272" s="75"/>
      <c r="B272" s="80" t="s">
        <v>375</v>
      </c>
      <c r="C272" s="76">
        <v>88050702</v>
      </c>
      <c r="D272" s="75" t="s">
        <v>159</v>
      </c>
      <c r="E272" s="83" t="s">
        <v>459</v>
      </c>
      <c r="F272" s="76" t="s">
        <v>158</v>
      </c>
      <c r="G272" s="76">
        <v>25</v>
      </c>
      <c r="H272" s="85">
        <v>114.51</v>
      </c>
      <c r="I272" s="86">
        <v>0.2</v>
      </c>
      <c r="J272" s="85">
        <v>174.48000000000002</v>
      </c>
      <c r="K272" s="79">
        <f t="shared" si="4"/>
        <v>0.52370971967513769</v>
      </c>
      <c r="L272" s="77">
        <v>174.48000000000002</v>
      </c>
      <c r="M272" s="77">
        <v>174.48000000000002</v>
      </c>
      <c r="N272" s="78">
        <v>174.48000000000002</v>
      </c>
      <c r="O272" s="78">
        <v>174.48000000000002</v>
      </c>
      <c r="P272" s="77">
        <v>174.48000000000002</v>
      </c>
      <c r="Q272" s="77">
        <v>174.48000000000002</v>
      </c>
      <c r="R272" s="67" t="s">
        <v>161</v>
      </c>
      <c r="S272" s="75"/>
    </row>
    <row r="273" spans="1:19" ht="120" customHeight="1" x14ac:dyDescent="0.25">
      <c r="A273" s="75"/>
      <c r="B273" s="80" t="s">
        <v>376</v>
      </c>
      <c r="C273" s="76">
        <v>88050703</v>
      </c>
      <c r="D273" s="75" t="s">
        <v>159</v>
      </c>
      <c r="E273" s="83" t="s">
        <v>460</v>
      </c>
      <c r="F273" s="76" t="s">
        <v>158</v>
      </c>
      <c r="G273" s="76">
        <v>20</v>
      </c>
      <c r="H273" s="85">
        <v>155.73999999999998</v>
      </c>
      <c r="I273" s="86">
        <v>0.2</v>
      </c>
      <c r="J273" s="85">
        <v>237.31200000000001</v>
      </c>
      <c r="K273" s="79">
        <f t="shared" si="4"/>
        <v>0.52377038654167229</v>
      </c>
      <c r="L273" s="77">
        <v>237.31200000000001</v>
      </c>
      <c r="M273" s="77">
        <v>237.31200000000001</v>
      </c>
      <c r="N273" s="78">
        <v>237.31200000000001</v>
      </c>
      <c r="O273" s="78">
        <v>237.31200000000001</v>
      </c>
      <c r="P273" s="77">
        <v>237.31200000000001</v>
      </c>
      <c r="Q273" s="77">
        <v>237.31200000000001</v>
      </c>
      <c r="R273" s="67" t="s">
        <v>161</v>
      </c>
      <c r="S273" s="75"/>
    </row>
    <row r="274" spans="1:19" ht="120" customHeight="1" x14ac:dyDescent="0.25">
      <c r="A274" s="75"/>
      <c r="B274" s="80" t="s">
        <v>377</v>
      </c>
      <c r="C274" s="76">
        <v>88050704</v>
      </c>
      <c r="D274" s="75" t="s">
        <v>159</v>
      </c>
      <c r="E274" s="83" t="s">
        <v>461</v>
      </c>
      <c r="F274" s="75" t="s">
        <v>158</v>
      </c>
      <c r="G274" s="76">
        <v>12</v>
      </c>
      <c r="H274" s="85">
        <v>215.28</v>
      </c>
      <c r="I274" s="86">
        <v>0.2</v>
      </c>
      <c r="J274" s="85">
        <v>328.03200000000004</v>
      </c>
      <c r="K274" s="79">
        <f t="shared" si="4"/>
        <v>0.52374581939799358</v>
      </c>
      <c r="L274" s="77">
        <v>328.03200000000004</v>
      </c>
      <c r="M274" s="77">
        <v>328.03200000000004</v>
      </c>
      <c r="N274" s="78">
        <v>328.03200000000004</v>
      </c>
      <c r="O274" s="78">
        <v>328.03200000000004</v>
      </c>
      <c r="P274" s="77">
        <v>328.03200000000004</v>
      </c>
      <c r="Q274" s="77">
        <v>328.03200000000004</v>
      </c>
      <c r="R274" s="67" t="s">
        <v>161</v>
      </c>
      <c r="S274" s="75"/>
    </row>
    <row r="275" spans="1:19" ht="120" customHeight="1" x14ac:dyDescent="0.25">
      <c r="A275" s="75"/>
      <c r="B275" s="80" t="s">
        <v>378</v>
      </c>
      <c r="C275" s="76">
        <v>88054001</v>
      </c>
      <c r="D275" s="75" t="s">
        <v>159</v>
      </c>
      <c r="E275" s="83" t="s">
        <v>457</v>
      </c>
      <c r="F275" s="76" t="s">
        <v>158</v>
      </c>
      <c r="G275" s="76">
        <v>12</v>
      </c>
      <c r="H275" s="85">
        <v>178.64</v>
      </c>
      <c r="I275" s="86">
        <v>0.2</v>
      </c>
      <c r="J275" s="85">
        <v>272.20800000000003</v>
      </c>
      <c r="K275" s="79">
        <f t="shared" si="4"/>
        <v>0.52377966860725511</v>
      </c>
      <c r="L275" s="77">
        <v>272.20800000000003</v>
      </c>
      <c r="M275" s="77">
        <v>272.20800000000003</v>
      </c>
      <c r="N275" s="78">
        <v>272.20800000000003</v>
      </c>
      <c r="O275" s="78">
        <v>272.20800000000003</v>
      </c>
      <c r="P275" s="77">
        <v>272.20800000000003</v>
      </c>
      <c r="Q275" s="77">
        <v>272.20800000000003</v>
      </c>
      <c r="R275" s="67" t="s">
        <v>187</v>
      </c>
      <c r="S275" s="75"/>
    </row>
    <row r="276" spans="1:19" ht="120" customHeight="1" x14ac:dyDescent="0.25">
      <c r="A276" s="75"/>
      <c r="B276" s="80" t="s">
        <v>379</v>
      </c>
      <c r="C276" s="76">
        <v>88054003</v>
      </c>
      <c r="D276" s="75" t="s">
        <v>159</v>
      </c>
      <c r="E276" s="83" t="s">
        <v>457</v>
      </c>
      <c r="F276" s="76" t="s">
        <v>158</v>
      </c>
      <c r="G276" s="76">
        <v>12</v>
      </c>
      <c r="H276" s="85">
        <v>210.7</v>
      </c>
      <c r="I276" s="86">
        <v>0.2</v>
      </c>
      <c r="J276" s="85">
        <v>321.05600000000004</v>
      </c>
      <c r="K276" s="79">
        <f t="shared" si="4"/>
        <v>0.52375889890840077</v>
      </c>
      <c r="L276" s="77">
        <v>321.05600000000004</v>
      </c>
      <c r="M276" s="77">
        <v>321.05600000000004</v>
      </c>
      <c r="N276" s="78">
        <v>321.05600000000004</v>
      </c>
      <c r="O276" s="78">
        <v>321.05600000000004</v>
      </c>
      <c r="P276" s="77">
        <v>321.05600000000004</v>
      </c>
      <c r="Q276" s="77">
        <v>321.05600000000004</v>
      </c>
      <c r="R276" s="67" t="s">
        <v>187</v>
      </c>
      <c r="S276" s="75"/>
    </row>
    <row r="277" spans="1:19" ht="120" customHeight="1" x14ac:dyDescent="0.25">
      <c r="A277" s="75"/>
      <c r="B277" s="80" t="s">
        <v>380</v>
      </c>
      <c r="C277" s="76">
        <v>88054005</v>
      </c>
      <c r="D277" s="75" t="s">
        <v>159</v>
      </c>
      <c r="E277" s="83" t="s">
        <v>457</v>
      </c>
      <c r="F277" s="76" t="s">
        <v>158</v>
      </c>
      <c r="G277" s="76">
        <v>12</v>
      </c>
      <c r="H277" s="85">
        <v>203.06</v>
      </c>
      <c r="I277" s="86">
        <v>0.2</v>
      </c>
      <c r="J277" s="85">
        <v>309.42399999999998</v>
      </c>
      <c r="K277" s="79">
        <f t="shared" si="4"/>
        <v>0.5238057716930955</v>
      </c>
      <c r="L277" s="77">
        <v>309.42399999999998</v>
      </c>
      <c r="M277" s="77">
        <v>309.42399999999998</v>
      </c>
      <c r="N277" s="78">
        <v>309.42399999999998</v>
      </c>
      <c r="O277" s="78">
        <v>309.42399999999998</v>
      </c>
      <c r="P277" s="77">
        <v>309.42399999999998</v>
      </c>
      <c r="Q277" s="77">
        <v>309.42399999999998</v>
      </c>
      <c r="R277" s="67" t="s">
        <v>187</v>
      </c>
      <c r="S277" s="75"/>
    </row>
    <row r="278" spans="1:19" ht="120" customHeight="1" x14ac:dyDescent="0.25">
      <c r="A278" s="75"/>
      <c r="B278" s="80" t="s">
        <v>381</v>
      </c>
      <c r="C278" s="76">
        <v>88054007</v>
      </c>
      <c r="D278" s="75" t="s">
        <v>159</v>
      </c>
      <c r="E278" s="83" t="s">
        <v>457</v>
      </c>
      <c r="F278" s="76" t="s">
        <v>158</v>
      </c>
      <c r="G278" s="76">
        <v>12</v>
      </c>
      <c r="H278" s="85">
        <v>204.6</v>
      </c>
      <c r="I278" s="86">
        <v>0.2</v>
      </c>
      <c r="J278" s="85">
        <v>311.76</v>
      </c>
      <c r="K278" s="79">
        <f t="shared" si="4"/>
        <v>0.52375366568914949</v>
      </c>
      <c r="L278" s="77">
        <v>311.76</v>
      </c>
      <c r="M278" s="77">
        <v>311.76</v>
      </c>
      <c r="N278" s="78">
        <v>311.76</v>
      </c>
      <c r="O278" s="78">
        <v>311.76</v>
      </c>
      <c r="P278" s="77">
        <v>311.76</v>
      </c>
      <c r="Q278" s="77">
        <v>311.76</v>
      </c>
      <c r="R278" s="67" t="s">
        <v>161</v>
      </c>
      <c r="S278" s="75"/>
    </row>
    <row r="279" spans="1:19" ht="120" customHeight="1" x14ac:dyDescent="0.25">
      <c r="A279" s="75"/>
      <c r="B279" s="80" t="s">
        <v>382</v>
      </c>
      <c r="C279" s="76">
        <v>88054011</v>
      </c>
      <c r="D279" s="75" t="s">
        <v>159</v>
      </c>
      <c r="E279" s="83" t="s">
        <v>457</v>
      </c>
      <c r="F279" s="76" t="s">
        <v>158</v>
      </c>
      <c r="G279" s="76">
        <v>12</v>
      </c>
      <c r="H279" s="85">
        <v>847.35</v>
      </c>
      <c r="I279" s="86">
        <v>0.2</v>
      </c>
      <c r="J279" s="85">
        <v>1291.2</v>
      </c>
      <c r="K279" s="79">
        <f t="shared" si="4"/>
        <v>0.52380952380952372</v>
      </c>
      <c r="L279" s="77">
        <v>1291.2</v>
      </c>
      <c r="M279" s="77">
        <v>1291.2</v>
      </c>
      <c r="N279" s="78">
        <v>1291.2</v>
      </c>
      <c r="O279" s="78">
        <v>1291.2</v>
      </c>
      <c r="P279" s="77">
        <v>1291.2</v>
      </c>
      <c r="Q279" s="77">
        <v>1291.2</v>
      </c>
      <c r="R279" s="67" t="s">
        <v>187</v>
      </c>
      <c r="S279" s="75"/>
    </row>
    <row r="280" spans="1:19" ht="120" customHeight="1" x14ac:dyDescent="0.25">
      <c r="A280" s="75"/>
      <c r="B280" s="80" t="s">
        <v>383</v>
      </c>
      <c r="C280" s="76">
        <v>88054017</v>
      </c>
      <c r="D280" s="75" t="s">
        <v>159</v>
      </c>
      <c r="E280" s="83" t="s">
        <v>458</v>
      </c>
      <c r="F280" s="76" t="s">
        <v>158</v>
      </c>
      <c r="G280" s="76">
        <v>12</v>
      </c>
      <c r="H280" s="85">
        <v>233.6</v>
      </c>
      <c r="I280" s="86">
        <v>0.2</v>
      </c>
      <c r="J280" s="85">
        <v>355.952</v>
      </c>
      <c r="K280" s="79">
        <f t="shared" si="4"/>
        <v>0.52376712328767128</v>
      </c>
      <c r="L280" s="77">
        <v>355.952</v>
      </c>
      <c r="M280" s="77">
        <v>355.952</v>
      </c>
      <c r="N280" s="78">
        <v>355.952</v>
      </c>
      <c r="O280" s="78">
        <v>355.952</v>
      </c>
      <c r="P280" s="77">
        <v>355.952</v>
      </c>
      <c r="Q280" s="77">
        <v>355.952</v>
      </c>
      <c r="R280" s="67" t="s">
        <v>303</v>
      </c>
      <c r="S280" s="75"/>
    </row>
    <row r="281" spans="1:19" ht="120" customHeight="1" x14ac:dyDescent="0.25">
      <c r="A281" s="75"/>
      <c r="B281" s="80" t="s">
        <v>384</v>
      </c>
      <c r="C281" s="76">
        <v>88054021</v>
      </c>
      <c r="D281" s="75" t="s">
        <v>159</v>
      </c>
      <c r="E281" s="83" t="s">
        <v>457</v>
      </c>
      <c r="F281" s="76" t="s">
        <v>158</v>
      </c>
      <c r="G281" s="76">
        <v>12</v>
      </c>
      <c r="H281" s="85">
        <v>210.7</v>
      </c>
      <c r="I281" s="86">
        <v>0.2</v>
      </c>
      <c r="J281" s="85">
        <v>321.05600000000004</v>
      </c>
      <c r="K281" s="79">
        <f t="shared" si="4"/>
        <v>0.52375889890840077</v>
      </c>
      <c r="L281" s="77">
        <v>321.05600000000004</v>
      </c>
      <c r="M281" s="77">
        <v>321.05600000000004</v>
      </c>
      <c r="N281" s="78">
        <v>321.05600000000004</v>
      </c>
      <c r="O281" s="78">
        <v>321.05600000000004</v>
      </c>
      <c r="P281" s="77">
        <v>321.05600000000004</v>
      </c>
      <c r="Q281" s="77">
        <v>321.05600000000004</v>
      </c>
      <c r="R281" s="67" t="s">
        <v>187</v>
      </c>
      <c r="S281" s="75"/>
    </row>
    <row r="282" spans="1:19" ht="120" customHeight="1" x14ac:dyDescent="0.25">
      <c r="A282" s="75"/>
      <c r="B282" s="80" t="s">
        <v>385</v>
      </c>
      <c r="C282" s="76">
        <v>88054022</v>
      </c>
      <c r="D282" s="75" t="s">
        <v>159</v>
      </c>
      <c r="E282" s="83" t="s">
        <v>457</v>
      </c>
      <c r="F282" s="76" t="s">
        <v>158</v>
      </c>
      <c r="G282" s="76">
        <v>12</v>
      </c>
      <c r="H282" s="85">
        <v>175.59</v>
      </c>
      <c r="I282" s="86">
        <v>0.2</v>
      </c>
      <c r="J282" s="85">
        <v>267.55200000000002</v>
      </c>
      <c r="K282" s="79">
        <f t="shared" si="4"/>
        <v>0.52373141978472582</v>
      </c>
      <c r="L282" s="77">
        <v>267.55200000000002</v>
      </c>
      <c r="M282" s="77">
        <v>267.55200000000002</v>
      </c>
      <c r="N282" s="78">
        <v>267.55200000000002</v>
      </c>
      <c r="O282" s="78">
        <v>267.55200000000002</v>
      </c>
      <c r="P282" s="77">
        <v>267.55200000000002</v>
      </c>
      <c r="Q282" s="77">
        <v>267.55200000000002</v>
      </c>
      <c r="R282" s="67" t="s">
        <v>303</v>
      </c>
      <c r="S282" s="75"/>
    </row>
    <row r="283" spans="1:19" ht="120" customHeight="1" x14ac:dyDescent="0.25">
      <c r="A283" s="75"/>
      <c r="B283" s="80" t="s">
        <v>386</v>
      </c>
      <c r="C283" s="76">
        <v>88054023</v>
      </c>
      <c r="D283" s="75" t="s">
        <v>159</v>
      </c>
      <c r="E283" s="83" t="s">
        <v>457</v>
      </c>
      <c r="F283" s="76" t="s">
        <v>158</v>
      </c>
      <c r="G283" s="76">
        <v>12</v>
      </c>
      <c r="H283" s="85">
        <v>251.92</v>
      </c>
      <c r="I283" s="86">
        <v>0.2</v>
      </c>
      <c r="J283" s="85">
        <v>383.87200000000001</v>
      </c>
      <c r="K283" s="79">
        <f t="shared" si="4"/>
        <v>0.52378532867577032</v>
      </c>
      <c r="L283" s="77">
        <v>383.87200000000001</v>
      </c>
      <c r="M283" s="77">
        <v>383.87200000000001</v>
      </c>
      <c r="N283" s="78">
        <v>383.87200000000001</v>
      </c>
      <c r="O283" s="78">
        <v>383.87200000000001</v>
      </c>
      <c r="P283" s="77">
        <v>383.87200000000001</v>
      </c>
      <c r="Q283" s="77">
        <v>383.87200000000001</v>
      </c>
      <c r="R283" s="67" t="s">
        <v>187</v>
      </c>
      <c r="S283" s="75"/>
    </row>
    <row r="284" spans="1:19" ht="120" customHeight="1" x14ac:dyDescent="0.25">
      <c r="A284" s="75"/>
      <c r="B284" s="80" t="s">
        <v>387</v>
      </c>
      <c r="C284" s="76">
        <v>88054028</v>
      </c>
      <c r="D284" s="75" t="s">
        <v>159</v>
      </c>
      <c r="E284" s="83" t="s">
        <v>457</v>
      </c>
      <c r="F284" s="76" t="s">
        <v>158</v>
      </c>
      <c r="G284" s="76">
        <v>12</v>
      </c>
      <c r="H284" s="85">
        <v>200.01</v>
      </c>
      <c r="I284" s="86">
        <v>0.2</v>
      </c>
      <c r="J284" s="85">
        <v>304.76799999999997</v>
      </c>
      <c r="K284" s="79">
        <f t="shared" si="4"/>
        <v>0.52376381180940945</v>
      </c>
      <c r="L284" s="77">
        <v>304.76799999999997</v>
      </c>
      <c r="M284" s="77">
        <v>304.76799999999997</v>
      </c>
      <c r="N284" s="78">
        <v>304.76799999999997</v>
      </c>
      <c r="O284" s="78">
        <v>304.76799999999997</v>
      </c>
      <c r="P284" s="77">
        <v>304.76799999999997</v>
      </c>
      <c r="Q284" s="77">
        <v>304.76799999999997</v>
      </c>
      <c r="R284" s="67" t="s">
        <v>303</v>
      </c>
      <c r="S284" s="75"/>
    </row>
    <row r="285" spans="1:19" ht="120" customHeight="1" x14ac:dyDescent="0.25">
      <c r="A285" s="75"/>
      <c r="B285" s="80" t="s">
        <v>388</v>
      </c>
      <c r="C285" s="76">
        <v>88054029</v>
      </c>
      <c r="D285" s="75" t="s">
        <v>159</v>
      </c>
      <c r="E285" s="83" t="s">
        <v>457</v>
      </c>
      <c r="F285" s="76" t="s">
        <v>158</v>
      </c>
      <c r="G285" s="76">
        <v>12</v>
      </c>
      <c r="H285" s="85">
        <v>232.07999999999998</v>
      </c>
      <c r="I285" s="86">
        <v>0.2</v>
      </c>
      <c r="J285" s="85">
        <v>353.63200000000006</v>
      </c>
      <c r="K285" s="79">
        <f t="shared" si="4"/>
        <v>0.52375043088590179</v>
      </c>
      <c r="L285" s="77">
        <v>353.63200000000006</v>
      </c>
      <c r="M285" s="77">
        <v>353.63200000000006</v>
      </c>
      <c r="N285" s="78">
        <v>353.63200000000006</v>
      </c>
      <c r="O285" s="78">
        <v>353.63200000000006</v>
      </c>
      <c r="P285" s="77">
        <v>353.63200000000006</v>
      </c>
      <c r="Q285" s="77">
        <v>353.63200000000006</v>
      </c>
      <c r="R285" s="67" t="s">
        <v>303</v>
      </c>
      <c r="S285" s="75"/>
    </row>
    <row r="286" spans="1:19" ht="120" customHeight="1" x14ac:dyDescent="0.25">
      <c r="A286" s="75"/>
      <c r="B286" s="80" t="s">
        <v>389</v>
      </c>
      <c r="C286" s="76">
        <v>88054035</v>
      </c>
      <c r="D286" s="75" t="s">
        <v>159</v>
      </c>
      <c r="E286" s="83" t="s">
        <v>457</v>
      </c>
      <c r="F286" s="76" t="s">
        <v>158</v>
      </c>
      <c r="G286" s="76">
        <v>12</v>
      </c>
      <c r="H286" s="85">
        <v>441.25</v>
      </c>
      <c r="I286" s="86">
        <v>0.2</v>
      </c>
      <c r="J286" s="85">
        <v>672.36800000000005</v>
      </c>
      <c r="K286" s="79">
        <f t="shared" si="4"/>
        <v>0.52378016997167154</v>
      </c>
      <c r="L286" s="77">
        <v>672.36800000000005</v>
      </c>
      <c r="M286" s="77">
        <v>672.36800000000005</v>
      </c>
      <c r="N286" s="78">
        <v>672.36800000000005</v>
      </c>
      <c r="O286" s="78">
        <v>672.36800000000005</v>
      </c>
      <c r="P286" s="77">
        <v>672.36800000000005</v>
      </c>
      <c r="Q286" s="77">
        <v>672.36800000000005</v>
      </c>
      <c r="R286" s="67" t="s">
        <v>161</v>
      </c>
      <c r="S286" s="75"/>
    </row>
    <row r="287" spans="1:19" ht="120" customHeight="1" x14ac:dyDescent="0.25">
      <c r="A287" s="75"/>
      <c r="B287" s="80" t="s">
        <v>390</v>
      </c>
      <c r="C287" s="76">
        <v>88054082</v>
      </c>
      <c r="D287" s="75" t="s">
        <v>159</v>
      </c>
      <c r="E287" s="83" t="s">
        <v>458</v>
      </c>
      <c r="F287" s="76" t="s">
        <v>158</v>
      </c>
      <c r="G287" s="76">
        <v>12</v>
      </c>
      <c r="H287" s="85">
        <v>261.08</v>
      </c>
      <c r="I287" s="86">
        <v>0.2</v>
      </c>
      <c r="J287" s="85">
        <v>397.82400000000001</v>
      </c>
      <c r="K287" s="79">
        <f t="shared" si="4"/>
        <v>0.52376283131607182</v>
      </c>
      <c r="L287" s="77">
        <v>397.82400000000001</v>
      </c>
      <c r="M287" s="77">
        <v>397.82400000000001</v>
      </c>
      <c r="N287" s="78">
        <v>397.82400000000001</v>
      </c>
      <c r="O287" s="78">
        <v>397.82400000000001</v>
      </c>
      <c r="P287" s="77">
        <v>397.82400000000001</v>
      </c>
      <c r="Q287" s="77">
        <v>397.82400000000001</v>
      </c>
      <c r="R287" s="67" t="s">
        <v>303</v>
      </c>
      <c r="S287" s="75"/>
    </row>
    <row r="288" spans="1:19" ht="120" customHeight="1" x14ac:dyDescent="0.25">
      <c r="A288" s="75"/>
      <c r="B288" s="80" t="s">
        <v>391</v>
      </c>
      <c r="C288" s="76">
        <v>88054091</v>
      </c>
      <c r="D288" s="75" t="s">
        <v>159</v>
      </c>
      <c r="E288" s="83" t="s">
        <v>457</v>
      </c>
      <c r="F288" s="76" t="s">
        <v>158</v>
      </c>
      <c r="G288" s="76">
        <v>12</v>
      </c>
      <c r="H288" s="85">
        <v>235.13</v>
      </c>
      <c r="I288" s="86">
        <v>0.2</v>
      </c>
      <c r="J288" s="85">
        <v>358.28800000000001</v>
      </c>
      <c r="K288" s="79">
        <f t="shared" si="4"/>
        <v>0.52378684132182207</v>
      </c>
      <c r="L288" s="77">
        <v>358.28800000000001</v>
      </c>
      <c r="M288" s="77">
        <v>358.28800000000001</v>
      </c>
      <c r="N288" s="78">
        <v>358.28800000000001</v>
      </c>
      <c r="O288" s="78">
        <v>358.28800000000001</v>
      </c>
      <c r="P288" s="77">
        <v>358.28800000000001</v>
      </c>
      <c r="Q288" s="77">
        <v>358.28800000000001</v>
      </c>
      <c r="R288" s="67" t="s">
        <v>187</v>
      </c>
      <c r="S288" s="75"/>
    </row>
    <row r="289" spans="1:19" ht="120" customHeight="1" x14ac:dyDescent="0.25">
      <c r="A289" s="75"/>
      <c r="B289" s="80" t="s">
        <v>392</v>
      </c>
      <c r="C289" s="76">
        <v>88054702</v>
      </c>
      <c r="D289" s="75" t="s">
        <v>159</v>
      </c>
      <c r="E289" s="83" t="s">
        <v>459</v>
      </c>
      <c r="F289" s="76" t="s">
        <v>158</v>
      </c>
      <c r="G289" s="76">
        <v>25</v>
      </c>
      <c r="H289" s="85">
        <v>114.51</v>
      </c>
      <c r="I289" s="86">
        <v>0.2</v>
      </c>
      <c r="J289" s="85">
        <v>174.48000000000002</v>
      </c>
      <c r="K289" s="79">
        <f t="shared" si="4"/>
        <v>0.52370971967513769</v>
      </c>
      <c r="L289" s="77">
        <v>174.48000000000002</v>
      </c>
      <c r="M289" s="77">
        <v>174.48000000000002</v>
      </c>
      <c r="N289" s="78">
        <v>174.48000000000002</v>
      </c>
      <c r="O289" s="78">
        <v>174.48000000000002</v>
      </c>
      <c r="P289" s="77">
        <v>174.48000000000002</v>
      </c>
      <c r="Q289" s="77">
        <v>174.48000000000002</v>
      </c>
      <c r="R289" s="67" t="s">
        <v>161</v>
      </c>
      <c r="S289" s="75"/>
    </row>
    <row r="290" spans="1:19" ht="120" customHeight="1" x14ac:dyDescent="0.25">
      <c r="A290" s="75"/>
      <c r="B290" s="80" t="s">
        <v>393</v>
      </c>
      <c r="C290" s="76">
        <v>88054703</v>
      </c>
      <c r="D290" s="75" t="s">
        <v>159</v>
      </c>
      <c r="E290" s="83" t="s">
        <v>460</v>
      </c>
      <c r="F290" s="76" t="s">
        <v>158</v>
      </c>
      <c r="G290" s="76">
        <v>20</v>
      </c>
      <c r="H290" s="85">
        <v>155.73999999999998</v>
      </c>
      <c r="I290" s="86">
        <v>0.2</v>
      </c>
      <c r="J290" s="85">
        <v>237.31200000000001</v>
      </c>
      <c r="K290" s="79">
        <f t="shared" si="4"/>
        <v>0.52377038654167229</v>
      </c>
      <c r="L290" s="77">
        <v>237.31200000000001</v>
      </c>
      <c r="M290" s="77">
        <v>237.31200000000001</v>
      </c>
      <c r="N290" s="78">
        <v>237.31200000000001</v>
      </c>
      <c r="O290" s="78">
        <v>237.31200000000001</v>
      </c>
      <c r="P290" s="77">
        <v>237.31200000000001</v>
      </c>
      <c r="Q290" s="77">
        <v>237.31200000000001</v>
      </c>
      <c r="R290" s="67" t="s">
        <v>161</v>
      </c>
      <c r="S290" s="75"/>
    </row>
    <row r="291" spans="1:19" ht="120" customHeight="1" x14ac:dyDescent="0.25">
      <c r="A291" s="75"/>
      <c r="B291" s="80" t="s">
        <v>394</v>
      </c>
      <c r="C291" s="76">
        <v>88054704</v>
      </c>
      <c r="D291" s="75" t="s">
        <v>159</v>
      </c>
      <c r="E291" s="83" t="s">
        <v>461</v>
      </c>
      <c r="F291" s="75" t="s">
        <v>158</v>
      </c>
      <c r="G291" s="76">
        <v>12</v>
      </c>
      <c r="H291" s="85">
        <v>215.28</v>
      </c>
      <c r="I291" s="86">
        <v>0.2</v>
      </c>
      <c r="J291" s="85">
        <v>328.03200000000004</v>
      </c>
      <c r="K291" s="79">
        <f t="shared" si="4"/>
        <v>0.52374581939799358</v>
      </c>
      <c r="L291" s="77">
        <v>328.03200000000004</v>
      </c>
      <c r="M291" s="77">
        <v>328.03200000000004</v>
      </c>
      <c r="N291" s="78">
        <v>328.03200000000004</v>
      </c>
      <c r="O291" s="78">
        <v>328.03200000000004</v>
      </c>
      <c r="P291" s="77">
        <v>328.03200000000004</v>
      </c>
      <c r="Q291" s="77">
        <v>328.03200000000004</v>
      </c>
      <c r="R291" s="67" t="s">
        <v>161</v>
      </c>
      <c r="S291" s="75"/>
    </row>
    <row r="292" spans="1:19" ht="120" customHeight="1" x14ac:dyDescent="0.25">
      <c r="A292" s="75"/>
      <c r="B292" s="80" t="s">
        <v>395</v>
      </c>
      <c r="C292" s="76">
        <v>88065001</v>
      </c>
      <c r="D292" s="75" t="s">
        <v>159</v>
      </c>
      <c r="E292" s="83" t="s">
        <v>457</v>
      </c>
      <c r="F292" s="76" t="s">
        <v>158</v>
      </c>
      <c r="G292" s="76">
        <v>12</v>
      </c>
      <c r="H292" s="85">
        <v>178.64</v>
      </c>
      <c r="I292" s="86">
        <v>0.2</v>
      </c>
      <c r="J292" s="85">
        <v>272.20800000000003</v>
      </c>
      <c r="K292" s="79">
        <f t="shared" si="4"/>
        <v>0.52377966860725511</v>
      </c>
      <c r="L292" s="77">
        <v>272.20800000000003</v>
      </c>
      <c r="M292" s="77">
        <v>272.20800000000003</v>
      </c>
      <c r="N292" s="78">
        <v>272.20800000000003</v>
      </c>
      <c r="O292" s="78">
        <v>272.20800000000003</v>
      </c>
      <c r="P292" s="77">
        <v>272.20800000000003</v>
      </c>
      <c r="Q292" s="77">
        <v>272.20800000000003</v>
      </c>
      <c r="R292" s="67" t="s">
        <v>187</v>
      </c>
      <c r="S292" s="75"/>
    </row>
    <row r="293" spans="1:19" ht="120" customHeight="1" x14ac:dyDescent="0.25">
      <c r="A293" s="75"/>
      <c r="B293" s="80" t="s">
        <v>396</v>
      </c>
      <c r="C293" s="76">
        <v>88065003</v>
      </c>
      <c r="D293" s="75" t="s">
        <v>159</v>
      </c>
      <c r="E293" s="83" t="s">
        <v>457</v>
      </c>
      <c r="F293" s="76" t="s">
        <v>158</v>
      </c>
      <c r="G293" s="76">
        <v>12</v>
      </c>
      <c r="H293" s="85">
        <v>210.7</v>
      </c>
      <c r="I293" s="86">
        <v>0.2</v>
      </c>
      <c r="J293" s="85">
        <v>321.05600000000004</v>
      </c>
      <c r="K293" s="79">
        <f t="shared" si="4"/>
        <v>0.52375889890840077</v>
      </c>
      <c r="L293" s="77">
        <v>321.05600000000004</v>
      </c>
      <c r="M293" s="77">
        <v>321.05600000000004</v>
      </c>
      <c r="N293" s="78">
        <v>321.05600000000004</v>
      </c>
      <c r="O293" s="78">
        <v>321.05600000000004</v>
      </c>
      <c r="P293" s="77">
        <v>321.05600000000004</v>
      </c>
      <c r="Q293" s="77">
        <v>321.05600000000004</v>
      </c>
      <c r="R293" s="67" t="s">
        <v>187</v>
      </c>
      <c r="S293" s="75"/>
    </row>
    <row r="294" spans="1:19" ht="120" customHeight="1" x14ac:dyDescent="0.25">
      <c r="A294" s="75"/>
      <c r="B294" s="80" t="s">
        <v>397</v>
      </c>
      <c r="C294" s="76">
        <v>88065005</v>
      </c>
      <c r="D294" s="75" t="s">
        <v>159</v>
      </c>
      <c r="E294" s="83" t="s">
        <v>457</v>
      </c>
      <c r="F294" s="76" t="s">
        <v>158</v>
      </c>
      <c r="G294" s="76">
        <v>12</v>
      </c>
      <c r="H294" s="85">
        <v>203.06</v>
      </c>
      <c r="I294" s="86">
        <v>0.2</v>
      </c>
      <c r="J294" s="85">
        <v>309.42399999999998</v>
      </c>
      <c r="K294" s="79">
        <f t="shared" si="4"/>
        <v>0.5238057716930955</v>
      </c>
      <c r="L294" s="77">
        <v>309.42399999999998</v>
      </c>
      <c r="M294" s="77">
        <v>309.42399999999998</v>
      </c>
      <c r="N294" s="78">
        <v>309.42399999999998</v>
      </c>
      <c r="O294" s="78">
        <v>309.42399999999998</v>
      </c>
      <c r="P294" s="77">
        <v>309.42399999999998</v>
      </c>
      <c r="Q294" s="77">
        <v>309.42399999999998</v>
      </c>
      <c r="R294" s="67" t="s">
        <v>187</v>
      </c>
      <c r="S294" s="75"/>
    </row>
    <row r="295" spans="1:19" ht="120" customHeight="1" x14ac:dyDescent="0.25">
      <c r="A295" s="75"/>
      <c r="B295" s="80" t="s">
        <v>398</v>
      </c>
      <c r="C295" s="76">
        <v>88065007</v>
      </c>
      <c r="D295" s="75" t="s">
        <v>159</v>
      </c>
      <c r="E295" s="83" t="s">
        <v>457</v>
      </c>
      <c r="F295" s="76" t="s">
        <v>158</v>
      </c>
      <c r="G295" s="76">
        <v>12</v>
      </c>
      <c r="H295" s="85">
        <v>204.6</v>
      </c>
      <c r="I295" s="86">
        <v>0.2</v>
      </c>
      <c r="J295" s="85">
        <v>311.76</v>
      </c>
      <c r="K295" s="79">
        <f t="shared" si="4"/>
        <v>0.52375366568914949</v>
      </c>
      <c r="L295" s="77">
        <v>311.76</v>
      </c>
      <c r="M295" s="77">
        <v>311.76</v>
      </c>
      <c r="N295" s="78">
        <v>311.76</v>
      </c>
      <c r="O295" s="78">
        <v>311.76</v>
      </c>
      <c r="P295" s="77">
        <v>311.76</v>
      </c>
      <c r="Q295" s="77">
        <v>311.76</v>
      </c>
      <c r="R295" s="67" t="s">
        <v>161</v>
      </c>
      <c r="S295" s="75"/>
    </row>
    <row r="296" spans="1:19" ht="120" customHeight="1" x14ac:dyDescent="0.25">
      <c r="A296" s="75"/>
      <c r="B296" s="80" t="s">
        <v>399</v>
      </c>
      <c r="C296" s="76">
        <v>88065011</v>
      </c>
      <c r="D296" s="75" t="s">
        <v>159</v>
      </c>
      <c r="E296" s="83" t="s">
        <v>457</v>
      </c>
      <c r="F296" s="76" t="s">
        <v>158</v>
      </c>
      <c r="G296" s="76">
        <v>12</v>
      </c>
      <c r="H296" s="85">
        <v>847.35</v>
      </c>
      <c r="I296" s="86">
        <v>0.2</v>
      </c>
      <c r="J296" s="85">
        <v>1291.2</v>
      </c>
      <c r="K296" s="79">
        <f t="shared" si="4"/>
        <v>0.52380952380952372</v>
      </c>
      <c r="L296" s="77">
        <v>1291.2</v>
      </c>
      <c r="M296" s="77">
        <v>1291.2</v>
      </c>
      <c r="N296" s="78">
        <v>1291.2</v>
      </c>
      <c r="O296" s="78">
        <v>1291.2</v>
      </c>
      <c r="P296" s="77">
        <v>1291.2</v>
      </c>
      <c r="Q296" s="77">
        <v>1291.2</v>
      </c>
      <c r="R296" s="67" t="s">
        <v>187</v>
      </c>
      <c r="S296" s="75"/>
    </row>
    <row r="297" spans="1:19" ht="120" customHeight="1" x14ac:dyDescent="0.25">
      <c r="A297" s="75"/>
      <c r="B297" s="80" t="s">
        <v>400</v>
      </c>
      <c r="C297" s="76">
        <v>88065017</v>
      </c>
      <c r="D297" s="75" t="s">
        <v>159</v>
      </c>
      <c r="E297" s="83" t="s">
        <v>458</v>
      </c>
      <c r="F297" s="76" t="s">
        <v>158</v>
      </c>
      <c r="G297" s="76">
        <v>12</v>
      </c>
      <c r="H297" s="85">
        <v>233.6</v>
      </c>
      <c r="I297" s="86">
        <v>0.2</v>
      </c>
      <c r="J297" s="85">
        <v>355.952</v>
      </c>
      <c r="K297" s="79">
        <f t="shared" si="4"/>
        <v>0.52376712328767128</v>
      </c>
      <c r="L297" s="77">
        <v>355.952</v>
      </c>
      <c r="M297" s="77">
        <v>355.952</v>
      </c>
      <c r="N297" s="78">
        <v>355.952</v>
      </c>
      <c r="O297" s="78">
        <v>355.952</v>
      </c>
      <c r="P297" s="77">
        <v>355.952</v>
      </c>
      <c r="Q297" s="77">
        <v>355.952</v>
      </c>
      <c r="R297" s="67" t="s">
        <v>303</v>
      </c>
      <c r="S297" s="75"/>
    </row>
    <row r="298" spans="1:19" ht="120" customHeight="1" x14ac:dyDescent="0.25">
      <c r="A298" s="75"/>
      <c r="B298" s="80" t="s">
        <v>401</v>
      </c>
      <c r="C298" s="76">
        <v>88065021</v>
      </c>
      <c r="D298" s="75" t="s">
        <v>159</v>
      </c>
      <c r="E298" s="83" t="s">
        <v>457</v>
      </c>
      <c r="F298" s="76" t="s">
        <v>158</v>
      </c>
      <c r="G298" s="76">
        <v>12</v>
      </c>
      <c r="H298" s="85">
        <v>210.7</v>
      </c>
      <c r="I298" s="86">
        <v>0.2</v>
      </c>
      <c r="J298" s="85">
        <v>321.05600000000004</v>
      </c>
      <c r="K298" s="79">
        <f t="shared" si="4"/>
        <v>0.52375889890840077</v>
      </c>
      <c r="L298" s="77">
        <v>321.05600000000004</v>
      </c>
      <c r="M298" s="77">
        <v>321.05600000000004</v>
      </c>
      <c r="N298" s="78">
        <v>321.05600000000004</v>
      </c>
      <c r="O298" s="78">
        <v>321.05600000000004</v>
      </c>
      <c r="P298" s="77">
        <v>321.05600000000004</v>
      </c>
      <c r="Q298" s="77">
        <v>321.05600000000004</v>
      </c>
      <c r="R298" s="67" t="s">
        <v>187</v>
      </c>
      <c r="S298" s="75"/>
    </row>
    <row r="299" spans="1:19" ht="120" customHeight="1" x14ac:dyDescent="0.25">
      <c r="A299" s="75"/>
      <c r="B299" s="80" t="s">
        <v>402</v>
      </c>
      <c r="C299" s="76">
        <v>88065022</v>
      </c>
      <c r="D299" s="75" t="s">
        <v>159</v>
      </c>
      <c r="E299" s="83" t="s">
        <v>457</v>
      </c>
      <c r="F299" s="76" t="s">
        <v>158</v>
      </c>
      <c r="G299" s="76">
        <v>12</v>
      </c>
      <c r="H299" s="85">
        <v>175.59</v>
      </c>
      <c r="I299" s="86">
        <v>0.2</v>
      </c>
      <c r="J299" s="85">
        <v>267.55200000000002</v>
      </c>
      <c r="K299" s="79">
        <f t="shared" si="4"/>
        <v>0.52373141978472582</v>
      </c>
      <c r="L299" s="77">
        <v>267.55200000000002</v>
      </c>
      <c r="M299" s="77">
        <v>267.55200000000002</v>
      </c>
      <c r="N299" s="78">
        <v>267.55200000000002</v>
      </c>
      <c r="O299" s="78">
        <v>267.55200000000002</v>
      </c>
      <c r="P299" s="77">
        <v>267.55200000000002</v>
      </c>
      <c r="Q299" s="77">
        <v>267.55200000000002</v>
      </c>
      <c r="R299" s="67" t="s">
        <v>303</v>
      </c>
      <c r="S299" s="75"/>
    </row>
    <row r="300" spans="1:19" ht="120" customHeight="1" x14ac:dyDescent="0.25">
      <c r="A300" s="75"/>
      <c r="B300" s="80" t="s">
        <v>403</v>
      </c>
      <c r="C300" s="76">
        <v>88065023</v>
      </c>
      <c r="D300" s="75" t="s">
        <v>159</v>
      </c>
      <c r="E300" s="83" t="s">
        <v>457</v>
      </c>
      <c r="F300" s="76" t="s">
        <v>158</v>
      </c>
      <c r="G300" s="76">
        <v>12</v>
      </c>
      <c r="H300" s="85">
        <v>251.92</v>
      </c>
      <c r="I300" s="86">
        <v>0.2</v>
      </c>
      <c r="J300" s="85">
        <v>383.87200000000001</v>
      </c>
      <c r="K300" s="79">
        <f t="shared" si="4"/>
        <v>0.52378532867577032</v>
      </c>
      <c r="L300" s="77">
        <v>383.87200000000001</v>
      </c>
      <c r="M300" s="77">
        <v>383.87200000000001</v>
      </c>
      <c r="N300" s="78">
        <v>383.87200000000001</v>
      </c>
      <c r="O300" s="78">
        <v>383.87200000000001</v>
      </c>
      <c r="P300" s="77">
        <v>383.87200000000001</v>
      </c>
      <c r="Q300" s="77">
        <v>383.87200000000001</v>
      </c>
      <c r="R300" s="67" t="s">
        <v>187</v>
      </c>
      <c r="S300" s="75"/>
    </row>
    <row r="301" spans="1:19" ht="120" customHeight="1" x14ac:dyDescent="0.25">
      <c r="A301" s="75"/>
      <c r="B301" s="80" t="s">
        <v>404</v>
      </c>
      <c r="C301" s="76">
        <v>88065028</v>
      </c>
      <c r="D301" s="75" t="s">
        <v>159</v>
      </c>
      <c r="E301" s="83" t="s">
        <v>457</v>
      </c>
      <c r="F301" s="76" t="s">
        <v>158</v>
      </c>
      <c r="G301" s="76">
        <v>12</v>
      </c>
      <c r="H301" s="85">
        <v>200.01</v>
      </c>
      <c r="I301" s="86">
        <v>0.2</v>
      </c>
      <c r="J301" s="85">
        <v>304.76799999999997</v>
      </c>
      <c r="K301" s="79">
        <f t="shared" si="4"/>
        <v>0.52376381180940945</v>
      </c>
      <c r="L301" s="77">
        <v>304.76799999999997</v>
      </c>
      <c r="M301" s="77">
        <v>304.76799999999997</v>
      </c>
      <c r="N301" s="78">
        <v>304.76799999999997</v>
      </c>
      <c r="O301" s="78">
        <v>304.76799999999997</v>
      </c>
      <c r="P301" s="77">
        <v>304.76799999999997</v>
      </c>
      <c r="Q301" s="77">
        <v>304.76799999999997</v>
      </c>
      <c r="R301" s="67" t="s">
        <v>303</v>
      </c>
      <c r="S301" s="75"/>
    </row>
    <row r="302" spans="1:19" ht="120" customHeight="1" x14ac:dyDescent="0.25">
      <c r="A302" s="75"/>
      <c r="B302" s="80" t="s">
        <v>405</v>
      </c>
      <c r="C302" s="76">
        <v>88065029</v>
      </c>
      <c r="D302" s="75" t="s">
        <v>159</v>
      </c>
      <c r="E302" s="83" t="s">
        <v>457</v>
      </c>
      <c r="F302" s="76" t="s">
        <v>158</v>
      </c>
      <c r="G302" s="76">
        <v>12</v>
      </c>
      <c r="H302" s="85">
        <v>232.07999999999998</v>
      </c>
      <c r="I302" s="86">
        <v>0.2</v>
      </c>
      <c r="J302" s="85">
        <v>353.63200000000006</v>
      </c>
      <c r="K302" s="79">
        <f t="shared" si="4"/>
        <v>0.52375043088590179</v>
      </c>
      <c r="L302" s="77">
        <v>353.63200000000006</v>
      </c>
      <c r="M302" s="77">
        <v>353.63200000000006</v>
      </c>
      <c r="N302" s="78">
        <v>353.63200000000006</v>
      </c>
      <c r="O302" s="78">
        <v>353.63200000000006</v>
      </c>
      <c r="P302" s="77">
        <v>353.63200000000006</v>
      </c>
      <c r="Q302" s="77">
        <v>353.63200000000006</v>
      </c>
      <c r="R302" s="67" t="s">
        <v>303</v>
      </c>
      <c r="S302" s="75"/>
    </row>
    <row r="303" spans="1:19" ht="120" customHeight="1" x14ac:dyDescent="0.25">
      <c r="A303" s="75"/>
      <c r="B303" s="80" t="s">
        <v>406</v>
      </c>
      <c r="C303" s="76">
        <v>88065035</v>
      </c>
      <c r="D303" s="75" t="s">
        <v>159</v>
      </c>
      <c r="E303" s="83" t="s">
        <v>457</v>
      </c>
      <c r="F303" s="76" t="s">
        <v>158</v>
      </c>
      <c r="G303" s="76">
        <v>12</v>
      </c>
      <c r="H303" s="85">
        <v>441.25</v>
      </c>
      <c r="I303" s="86">
        <v>0.2</v>
      </c>
      <c r="J303" s="85">
        <v>672.36800000000005</v>
      </c>
      <c r="K303" s="79">
        <f t="shared" si="4"/>
        <v>0.52378016997167154</v>
      </c>
      <c r="L303" s="77">
        <v>672.36800000000005</v>
      </c>
      <c r="M303" s="77">
        <v>672.36800000000005</v>
      </c>
      <c r="N303" s="78">
        <v>672.36800000000005</v>
      </c>
      <c r="O303" s="78">
        <v>672.36800000000005</v>
      </c>
      <c r="P303" s="77">
        <v>672.36800000000005</v>
      </c>
      <c r="Q303" s="77">
        <v>672.36800000000005</v>
      </c>
      <c r="R303" s="67" t="s">
        <v>161</v>
      </c>
      <c r="S303" s="75"/>
    </row>
    <row r="304" spans="1:19" ht="120" customHeight="1" x14ac:dyDescent="0.25">
      <c r="A304" s="75"/>
      <c r="B304" s="80" t="s">
        <v>407</v>
      </c>
      <c r="C304" s="76">
        <v>88065082</v>
      </c>
      <c r="D304" s="75" t="s">
        <v>159</v>
      </c>
      <c r="E304" s="83" t="s">
        <v>458</v>
      </c>
      <c r="F304" s="76" t="s">
        <v>158</v>
      </c>
      <c r="G304" s="76">
        <v>12</v>
      </c>
      <c r="H304" s="85">
        <v>261.08</v>
      </c>
      <c r="I304" s="86">
        <v>0.2</v>
      </c>
      <c r="J304" s="85">
        <v>397.82400000000001</v>
      </c>
      <c r="K304" s="79">
        <f t="shared" si="4"/>
        <v>0.52376283131607182</v>
      </c>
      <c r="L304" s="77">
        <v>397.82400000000001</v>
      </c>
      <c r="M304" s="77">
        <v>397.82400000000001</v>
      </c>
      <c r="N304" s="78">
        <v>397.82400000000001</v>
      </c>
      <c r="O304" s="78">
        <v>397.82400000000001</v>
      </c>
      <c r="P304" s="77">
        <v>397.82400000000001</v>
      </c>
      <c r="Q304" s="77">
        <v>397.82400000000001</v>
      </c>
      <c r="R304" s="67" t="s">
        <v>303</v>
      </c>
      <c r="S304" s="75"/>
    </row>
    <row r="305" spans="1:19" ht="120" customHeight="1" x14ac:dyDescent="0.25">
      <c r="A305" s="75"/>
      <c r="B305" s="80" t="s">
        <v>408</v>
      </c>
      <c r="C305" s="76">
        <v>88065091</v>
      </c>
      <c r="D305" s="75" t="s">
        <v>159</v>
      </c>
      <c r="E305" s="83" t="s">
        <v>457</v>
      </c>
      <c r="F305" s="76" t="s">
        <v>158</v>
      </c>
      <c r="G305" s="76">
        <v>12</v>
      </c>
      <c r="H305" s="85">
        <v>235.13</v>
      </c>
      <c r="I305" s="86">
        <v>0.2</v>
      </c>
      <c r="J305" s="85">
        <v>358.28800000000001</v>
      </c>
      <c r="K305" s="79">
        <f t="shared" si="4"/>
        <v>0.52378684132182207</v>
      </c>
      <c r="L305" s="77">
        <v>358.28800000000001</v>
      </c>
      <c r="M305" s="77">
        <v>358.28800000000001</v>
      </c>
      <c r="N305" s="78">
        <v>358.28800000000001</v>
      </c>
      <c r="O305" s="78">
        <v>358.28800000000001</v>
      </c>
      <c r="P305" s="77">
        <v>358.28800000000001</v>
      </c>
      <c r="Q305" s="77">
        <v>358.28800000000001</v>
      </c>
      <c r="R305" s="67" t="s">
        <v>187</v>
      </c>
      <c r="S305" s="75"/>
    </row>
    <row r="306" spans="1:19" ht="120" customHeight="1" x14ac:dyDescent="0.25">
      <c r="A306" s="75"/>
      <c r="B306" s="80" t="s">
        <v>409</v>
      </c>
      <c r="C306" s="76">
        <v>88065702</v>
      </c>
      <c r="D306" s="75" t="s">
        <v>159</v>
      </c>
      <c r="E306" s="83" t="s">
        <v>459</v>
      </c>
      <c r="F306" s="76" t="s">
        <v>158</v>
      </c>
      <c r="G306" s="76">
        <v>25</v>
      </c>
      <c r="H306" s="85">
        <v>114.51</v>
      </c>
      <c r="I306" s="86">
        <v>0.2</v>
      </c>
      <c r="J306" s="85">
        <v>174.48000000000002</v>
      </c>
      <c r="K306" s="79">
        <f t="shared" si="4"/>
        <v>0.52370971967513769</v>
      </c>
      <c r="L306" s="77">
        <v>174.48000000000002</v>
      </c>
      <c r="M306" s="77">
        <v>174.48000000000002</v>
      </c>
      <c r="N306" s="78">
        <v>174.48000000000002</v>
      </c>
      <c r="O306" s="78">
        <v>174.48000000000002</v>
      </c>
      <c r="P306" s="77">
        <v>174.48000000000002</v>
      </c>
      <c r="Q306" s="77">
        <v>174.48000000000002</v>
      </c>
      <c r="R306" s="67" t="s">
        <v>161</v>
      </c>
      <c r="S306" s="75"/>
    </row>
    <row r="307" spans="1:19" ht="120" customHeight="1" x14ac:dyDescent="0.25">
      <c r="A307" s="75"/>
      <c r="B307" s="80" t="s">
        <v>410</v>
      </c>
      <c r="C307" s="76">
        <v>88065703</v>
      </c>
      <c r="D307" s="75" t="s">
        <v>159</v>
      </c>
      <c r="E307" s="83" t="s">
        <v>460</v>
      </c>
      <c r="F307" s="76" t="s">
        <v>158</v>
      </c>
      <c r="G307" s="76">
        <v>20</v>
      </c>
      <c r="H307" s="85">
        <v>155.73999999999998</v>
      </c>
      <c r="I307" s="86">
        <v>0.2</v>
      </c>
      <c r="J307" s="85">
        <v>237.31200000000001</v>
      </c>
      <c r="K307" s="79">
        <f t="shared" si="4"/>
        <v>0.52377038654167229</v>
      </c>
      <c r="L307" s="77">
        <v>237.31200000000001</v>
      </c>
      <c r="M307" s="77">
        <v>237.31200000000001</v>
      </c>
      <c r="N307" s="78">
        <v>237.31200000000001</v>
      </c>
      <c r="O307" s="78">
        <v>237.31200000000001</v>
      </c>
      <c r="P307" s="77">
        <v>237.31200000000001</v>
      </c>
      <c r="Q307" s="77">
        <v>237.31200000000001</v>
      </c>
      <c r="R307" s="67" t="s">
        <v>161</v>
      </c>
      <c r="S307" s="75"/>
    </row>
    <row r="308" spans="1:19" ht="120" customHeight="1" x14ac:dyDescent="0.25">
      <c r="A308" s="75"/>
      <c r="B308" s="80" t="s">
        <v>411</v>
      </c>
      <c r="C308" s="76">
        <v>88065704</v>
      </c>
      <c r="D308" s="75" t="s">
        <v>159</v>
      </c>
      <c r="E308" s="83" t="s">
        <v>461</v>
      </c>
      <c r="F308" s="75" t="s">
        <v>158</v>
      </c>
      <c r="G308" s="76">
        <v>12</v>
      </c>
      <c r="H308" s="85">
        <v>215.28</v>
      </c>
      <c r="I308" s="86">
        <v>0.2</v>
      </c>
      <c r="J308" s="85">
        <v>328.03200000000004</v>
      </c>
      <c r="K308" s="79">
        <f t="shared" si="4"/>
        <v>0.52374581939799358</v>
      </c>
      <c r="L308" s="77">
        <v>328.03200000000004</v>
      </c>
      <c r="M308" s="77">
        <v>328.03200000000004</v>
      </c>
      <c r="N308" s="78">
        <v>328.03200000000004</v>
      </c>
      <c r="O308" s="78">
        <v>328.03200000000004</v>
      </c>
      <c r="P308" s="77">
        <v>328.03200000000004</v>
      </c>
      <c r="Q308" s="77">
        <v>328.03200000000004</v>
      </c>
      <c r="R308" s="67" t="s">
        <v>161</v>
      </c>
      <c r="S308" s="75"/>
    </row>
    <row r="309" spans="1:19" ht="120" customHeight="1" x14ac:dyDescent="0.25">
      <c r="A309" s="67"/>
      <c r="B309" s="59" t="s">
        <v>51</v>
      </c>
      <c r="C309" s="60" t="s">
        <v>188</v>
      </c>
      <c r="D309" s="59" t="s">
        <v>159</v>
      </c>
      <c r="E309" s="101" t="s">
        <v>446</v>
      </c>
      <c r="F309" s="60" t="s">
        <v>158</v>
      </c>
      <c r="G309" s="60">
        <v>25</v>
      </c>
      <c r="H309" s="61">
        <v>120.63000000000001</v>
      </c>
      <c r="I309" s="79">
        <v>0.2</v>
      </c>
      <c r="J309" s="61">
        <v>180.93599999999998</v>
      </c>
      <c r="K309" s="79">
        <f t="shared" si="4"/>
        <v>0.49992539169360817</v>
      </c>
      <c r="L309" s="68">
        <v>180.93599999999998</v>
      </c>
      <c r="M309" s="68">
        <v>180.93599999999998</v>
      </c>
      <c r="N309" s="68">
        <v>180.93599999999998</v>
      </c>
      <c r="O309" s="68">
        <v>180.93599999999998</v>
      </c>
      <c r="P309" s="68">
        <v>180.93599999999998</v>
      </c>
      <c r="Q309" s="68">
        <v>180.93599999999998</v>
      </c>
      <c r="R309" s="67" t="s">
        <v>232</v>
      </c>
      <c r="S309" s="67"/>
    </row>
    <row r="310" spans="1:19" ht="120" customHeight="1" x14ac:dyDescent="0.25">
      <c r="A310" s="69"/>
      <c r="B310" s="69" t="s">
        <v>250</v>
      </c>
      <c r="C310" s="70" t="s">
        <v>197</v>
      </c>
      <c r="D310" s="69" t="s">
        <v>159</v>
      </c>
      <c r="E310" s="84" t="s">
        <v>305</v>
      </c>
      <c r="F310" s="70" t="s">
        <v>158</v>
      </c>
      <c r="G310" s="70">
        <v>12</v>
      </c>
      <c r="H310" s="61">
        <v>260.14</v>
      </c>
      <c r="I310" s="79">
        <v>0.2</v>
      </c>
      <c r="J310" s="61">
        <v>390.20624999999995</v>
      </c>
      <c r="K310" s="79">
        <f t="shared" si="4"/>
        <v>0.49998558468516952</v>
      </c>
      <c r="L310" s="68">
        <v>390.20624999999995</v>
      </c>
      <c r="M310" s="68">
        <v>390.20624999999995</v>
      </c>
      <c r="N310" s="71">
        <v>390.20624999999995</v>
      </c>
      <c r="O310" s="71">
        <v>390.20624999999995</v>
      </c>
      <c r="P310" s="68">
        <v>390.20624999999995</v>
      </c>
      <c r="Q310" s="68">
        <v>390.20624999999995</v>
      </c>
      <c r="R310" s="69" t="s">
        <v>294</v>
      </c>
      <c r="S310" s="69"/>
    </row>
    <row r="311" spans="1:19" ht="120" customHeight="1" x14ac:dyDescent="0.25">
      <c r="A311" s="69"/>
      <c r="B311" s="69" t="s">
        <v>251</v>
      </c>
      <c r="C311" s="70" t="s">
        <v>206</v>
      </c>
      <c r="D311" s="69" t="s">
        <v>159</v>
      </c>
      <c r="E311" s="84" t="s">
        <v>305</v>
      </c>
      <c r="F311" s="70" t="s">
        <v>158</v>
      </c>
      <c r="G311" s="70">
        <v>12</v>
      </c>
      <c r="H311" s="61">
        <v>292.83</v>
      </c>
      <c r="I311" s="79">
        <v>0.2</v>
      </c>
      <c r="J311" s="61">
        <v>439.23599999999999</v>
      </c>
      <c r="K311" s="79">
        <f t="shared" si="4"/>
        <v>0.49996926544411435</v>
      </c>
      <c r="L311" s="68">
        <v>439.23599999999999</v>
      </c>
      <c r="M311" s="68">
        <v>439.23599999999999</v>
      </c>
      <c r="N311" s="71">
        <v>439.23599999999999</v>
      </c>
      <c r="O311" s="71">
        <v>439.23599999999999</v>
      </c>
      <c r="P311" s="68">
        <v>439.23599999999999</v>
      </c>
      <c r="Q311" s="68">
        <v>439.23599999999999</v>
      </c>
      <c r="R311" s="69" t="s">
        <v>294</v>
      </c>
      <c r="S311" s="69"/>
    </row>
    <row r="312" spans="1:19" ht="120" customHeight="1" x14ac:dyDescent="0.25">
      <c r="A312" s="69"/>
      <c r="B312" s="69" t="s">
        <v>252</v>
      </c>
      <c r="C312" s="70" t="s">
        <v>215</v>
      </c>
      <c r="D312" s="69" t="s">
        <v>159</v>
      </c>
      <c r="E312" s="84" t="s">
        <v>305</v>
      </c>
      <c r="F312" s="70" t="s">
        <v>158</v>
      </c>
      <c r="G312" s="70">
        <v>12</v>
      </c>
      <c r="H312" s="61">
        <v>380.96999999999997</v>
      </c>
      <c r="I312" s="79">
        <v>0.2</v>
      </c>
      <c r="J312" s="61">
        <v>571.44150000000002</v>
      </c>
      <c r="K312" s="79">
        <f t="shared" si="4"/>
        <v>0.49996456413890877</v>
      </c>
      <c r="L312" s="68">
        <v>571.44150000000002</v>
      </c>
      <c r="M312" s="68">
        <v>571.44150000000002</v>
      </c>
      <c r="N312" s="71">
        <v>571.44150000000002</v>
      </c>
      <c r="O312" s="71">
        <v>571.44150000000002</v>
      </c>
      <c r="P312" s="68">
        <v>571.44150000000002</v>
      </c>
      <c r="Q312" s="68">
        <v>571.44150000000002</v>
      </c>
      <c r="R312" s="69" t="s">
        <v>294</v>
      </c>
      <c r="S312" s="69"/>
    </row>
    <row r="313" spans="1:19" ht="120" customHeight="1" x14ac:dyDescent="0.25">
      <c r="A313" s="69"/>
      <c r="B313" s="69" t="s">
        <v>253</v>
      </c>
      <c r="C313" s="70" t="s">
        <v>233</v>
      </c>
      <c r="D313" s="69" t="s">
        <v>159</v>
      </c>
      <c r="E313" s="84" t="s">
        <v>305</v>
      </c>
      <c r="F313" s="70" t="s">
        <v>158</v>
      </c>
      <c r="G313" s="70">
        <v>12</v>
      </c>
      <c r="H313" s="61">
        <v>460.57</v>
      </c>
      <c r="I313" s="79">
        <v>0.2</v>
      </c>
      <c r="J313" s="61">
        <v>690.84225000000004</v>
      </c>
      <c r="K313" s="79">
        <f t="shared" si="4"/>
        <v>0.499972316911653</v>
      </c>
      <c r="L313" s="68">
        <v>690.84225000000004</v>
      </c>
      <c r="M313" s="68">
        <v>690.84225000000004</v>
      </c>
      <c r="N313" s="71">
        <v>690.84225000000004</v>
      </c>
      <c r="O313" s="71">
        <v>690.84225000000004</v>
      </c>
      <c r="P313" s="68">
        <v>690.84225000000004</v>
      </c>
      <c r="Q313" s="68">
        <v>690.84225000000004</v>
      </c>
      <c r="R313" s="69" t="s">
        <v>294</v>
      </c>
      <c r="S313" s="69"/>
    </row>
    <row r="314" spans="1:19" ht="120" customHeight="1" x14ac:dyDescent="0.25">
      <c r="A314" s="69"/>
      <c r="B314" s="69" t="s">
        <v>254</v>
      </c>
      <c r="C314" s="70" t="s">
        <v>234</v>
      </c>
      <c r="D314" s="69" t="s">
        <v>159</v>
      </c>
      <c r="E314" s="84" t="s">
        <v>305</v>
      </c>
      <c r="F314" s="70" t="s">
        <v>158</v>
      </c>
      <c r="G314" s="70">
        <v>12</v>
      </c>
      <c r="H314" s="61">
        <v>582.80999999999995</v>
      </c>
      <c r="I314" s="79">
        <v>0.2</v>
      </c>
      <c r="J314" s="61">
        <v>874.20375000000001</v>
      </c>
      <c r="K314" s="79">
        <f t="shared" si="4"/>
        <v>0.49998069696813729</v>
      </c>
      <c r="L314" s="68">
        <v>874.20375000000001</v>
      </c>
      <c r="M314" s="68">
        <v>874.20375000000001</v>
      </c>
      <c r="N314" s="71">
        <v>874.20375000000001</v>
      </c>
      <c r="O314" s="71">
        <v>874.20375000000001</v>
      </c>
      <c r="P314" s="68">
        <v>874.20375000000001</v>
      </c>
      <c r="Q314" s="68">
        <v>874.20375000000001</v>
      </c>
      <c r="R314" s="69" t="s">
        <v>294</v>
      </c>
      <c r="S314" s="69"/>
    </row>
    <row r="315" spans="1:19" ht="120" customHeight="1" x14ac:dyDescent="0.25">
      <c r="A315" s="69"/>
      <c r="B315" s="69" t="s">
        <v>255</v>
      </c>
      <c r="C315" s="70" t="s">
        <v>235</v>
      </c>
      <c r="D315" s="69" t="s">
        <v>159</v>
      </c>
      <c r="E315" s="84" t="s">
        <v>305</v>
      </c>
      <c r="F315" s="70" t="s">
        <v>158</v>
      </c>
      <c r="G315" s="70">
        <v>12</v>
      </c>
      <c r="H315" s="61">
        <v>815.93</v>
      </c>
      <c r="I315" s="79">
        <v>0.2</v>
      </c>
      <c r="J315" s="61">
        <v>1223.8852500000003</v>
      </c>
      <c r="K315" s="79">
        <f t="shared" si="4"/>
        <v>0.49998805044550432</v>
      </c>
      <c r="L315" s="68">
        <v>1223.8852500000003</v>
      </c>
      <c r="M315" s="68">
        <v>1223.8852500000003</v>
      </c>
      <c r="N315" s="71">
        <v>1223.8852500000003</v>
      </c>
      <c r="O315" s="71">
        <v>1223.8852500000003</v>
      </c>
      <c r="P315" s="68">
        <v>1223.8852500000003</v>
      </c>
      <c r="Q315" s="68">
        <v>1223.8852500000003</v>
      </c>
      <c r="R315" s="69" t="s">
        <v>294</v>
      </c>
      <c r="S315" s="69"/>
    </row>
    <row r="316" spans="1:19" ht="120" customHeight="1" x14ac:dyDescent="0.25">
      <c r="A316" s="67"/>
      <c r="B316" s="59" t="s">
        <v>52</v>
      </c>
      <c r="C316" s="60" t="s">
        <v>189</v>
      </c>
      <c r="D316" s="59" t="s">
        <v>159</v>
      </c>
      <c r="E316" s="101" t="s">
        <v>446</v>
      </c>
      <c r="F316" s="60" t="s">
        <v>158</v>
      </c>
      <c r="G316" s="60">
        <v>20</v>
      </c>
      <c r="H316" s="61">
        <v>149.63</v>
      </c>
      <c r="I316" s="79">
        <v>0.2</v>
      </c>
      <c r="J316" s="61">
        <v>224.4375</v>
      </c>
      <c r="K316" s="79">
        <f t="shared" si="4"/>
        <v>0.4999498763616923</v>
      </c>
      <c r="L316" s="68">
        <v>224.4375</v>
      </c>
      <c r="M316" s="68">
        <v>224.4375</v>
      </c>
      <c r="N316" s="68">
        <v>224.4375</v>
      </c>
      <c r="O316" s="68">
        <v>224.4375</v>
      </c>
      <c r="P316" s="68">
        <v>224.4375</v>
      </c>
      <c r="Q316" s="68">
        <v>224.4375</v>
      </c>
      <c r="R316" s="67" t="s">
        <v>232</v>
      </c>
      <c r="S316" s="67"/>
    </row>
    <row r="317" spans="1:19" ht="120" customHeight="1" x14ac:dyDescent="0.25">
      <c r="A317" s="69"/>
      <c r="B317" s="69" t="s">
        <v>269</v>
      </c>
      <c r="C317" s="70" t="s">
        <v>198</v>
      </c>
      <c r="D317" s="69" t="s">
        <v>159</v>
      </c>
      <c r="E317" s="84" t="s">
        <v>305</v>
      </c>
      <c r="F317" s="70" t="s">
        <v>158</v>
      </c>
      <c r="G317" s="70">
        <v>12</v>
      </c>
      <c r="H317" s="61">
        <v>342.58</v>
      </c>
      <c r="I317" s="79">
        <v>0.2</v>
      </c>
      <c r="J317" s="61">
        <v>513.85950000000003</v>
      </c>
      <c r="K317" s="79">
        <f t="shared" si="4"/>
        <v>0.49996935022476507</v>
      </c>
      <c r="L317" s="68">
        <v>513.85950000000003</v>
      </c>
      <c r="M317" s="68">
        <v>513.85950000000003</v>
      </c>
      <c r="N317" s="71">
        <v>513.85950000000003</v>
      </c>
      <c r="O317" s="71">
        <v>513.85950000000003</v>
      </c>
      <c r="P317" s="68">
        <v>513.85950000000003</v>
      </c>
      <c r="Q317" s="68">
        <v>513.85950000000003</v>
      </c>
      <c r="R317" s="69" t="s">
        <v>294</v>
      </c>
      <c r="S317" s="69"/>
    </row>
    <row r="318" spans="1:19" ht="120" customHeight="1" x14ac:dyDescent="0.25">
      <c r="A318" s="69"/>
      <c r="B318" s="69" t="s">
        <v>270</v>
      </c>
      <c r="C318" s="70" t="s">
        <v>207</v>
      </c>
      <c r="D318" s="69" t="s">
        <v>159</v>
      </c>
      <c r="E318" s="84" t="s">
        <v>305</v>
      </c>
      <c r="F318" s="70" t="s">
        <v>158</v>
      </c>
      <c r="G318" s="70">
        <v>12</v>
      </c>
      <c r="H318" s="61">
        <v>407.96</v>
      </c>
      <c r="I318" s="79">
        <v>0.2</v>
      </c>
      <c r="J318" s="61">
        <v>611.93475000000001</v>
      </c>
      <c r="K318" s="79">
        <f t="shared" si="4"/>
        <v>0.49998713109128357</v>
      </c>
      <c r="L318" s="68">
        <v>611.93475000000001</v>
      </c>
      <c r="M318" s="68">
        <v>611.93475000000001</v>
      </c>
      <c r="N318" s="71">
        <v>611.93475000000001</v>
      </c>
      <c r="O318" s="71">
        <v>611.93475000000001</v>
      </c>
      <c r="P318" s="68">
        <v>611.93475000000001</v>
      </c>
      <c r="Q318" s="68">
        <v>611.93475000000001</v>
      </c>
      <c r="R318" s="69" t="s">
        <v>294</v>
      </c>
      <c r="S318" s="69"/>
    </row>
    <row r="319" spans="1:19" ht="120" customHeight="1" x14ac:dyDescent="0.25">
      <c r="A319" s="69"/>
      <c r="B319" s="69" t="s">
        <v>271</v>
      </c>
      <c r="C319" s="70" t="s">
        <v>216</v>
      </c>
      <c r="D319" s="69" t="s">
        <v>159</v>
      </c>
      <c r="E319" s="84" t="s">
        <v>305</v>
      </c>
      <c r="F319" s="70" t="s">
        <v>158</v>
      </c>
      <c r="G319" s="70">
        <v>12</v>
      </c>
      <c r="H319" s="61">
        <v>557.22</v>
      </c>
      <c r="I319" s="79">
        <v>0.2</v>
      </c>
      <c r="J319" s="61">
        <v>835.82099999999991</v>
      </c>
      <c r="K319" s="79">
        <f t="shared" si="4"/>
        <v>0.49998384839022258</v>
      </c>
      <c r="L319" s="68">
        <v>835.82099999999991</v>
      </c>
      <c r="M319" s="68">
        <v>835.82099999999991</v>
      </c>
      <c r="N319" s="71">
        <v>835.82099999999991</v>
      </c>
      <c r="O319" s="71">
        <v>835.82099999999991</v>
      </c>
      <c r="P319" s="68">
        <v>835.82099999999991</v>
      </c>
      <c r="Q319" s="68">
        <v>835.82099999999991</v>
      </c>
      <c r="R319" s="69" t="s">
        <v>294</v>
      </c>
      <c r="S319" s="69"/>
    </row>
    <row r="320" spans="1:19" ht="120" customHeight="1" x14ac:dyDescent="0.25">
      <c r="A320" s="69"/>
      <c r="B320" s="69" t="s">
        <v>272</v>
      </c>
      <c r="C320" s="70" t="s">
        <v>236</v>
      </c>
      <c r="D320" s="69" t="s">
        <v>159</v>
      </c>
      <c r="E320" s="84" t="s">
        <v>305</v>
      </c>
      <c r="F320" s="70" t="s">
        <v>158</v>
      </c>
      <c r="G320" s="70">
        <v>12</v>
      </c>
      <c r="H320" s="61">
        <v>710.74</v>
      </c>
      <c r="I320" s="79">
        <v>0.2</v>
      </c>
      <c r="J320" s="61">
        <v>1066.10175</v>
      </c>
      <c r="K320" s="79">
        <f t="shared" si="4"/>
        <v>0.49998839237977322</v>
      </c>
      <c r="L320" s="68">
        <v>1066.10175</v>
      </c>
      <c r="M320" s="68">
        <v>1066.10175</v>
      </c>
      <c r="N320" s="71">
        <v>1066.10175</v>
      </c>
      <c r="O320" s="71">
        <v>1066.10175</v>
      </c>
      <c r="P320" s="68">
        <v>1066.10175</v>
      </c>
      <c r="Q320" s="68">
        <v>1066.10175</v>
      </c>
      <c r="R320" s="69" t="s">
        <v>294</v>
      </c>
      <c r="S320" s="69"/>
    </row>
    <row r="321" spans="1:19" ht="120" customHeight="1" x14ac:dyDescent="0.25">
      <c r="A321" s="69"/>
      <c r="B321" s="69" t="s">
        <v>273</v>
      </c>
      <c r="C321" s="70" t="s">
        <v>237</v>
      </c>
      <c r="D321" s="69" t="s">
        <v>159</v>
      </c>
      <c r="E321" s="84" t="s">
        <v>305</v>
      </c>
      <c r="F321" s="70" t="s">
        <v>158</v>
      </c>
      <c r="G321" s="70">
        <v>12</v>
      </c>
      <c r="H321" s="61">
        <v>878.48</v>
      </c>
      <c r="I321" s="79">
        <v>0.2</v>
      </c>
      <c r="J321" s="61">
        <v>1317.7080000000001</v>
      </c>
      <c r="K321" s="79">
        <f t="shared" si="4"/>
        <v>0.49998634004189069</v>
      </c>
      <c r="L321" s="68">
        <v>1317.7080000000001</v>
      </c>
      <c r="M321" s="68">
        <v>1317.7080000000001</v>
      </c>
      <c r="N321" s="71">
        <v>1317.7080000000001</v>
      </c>
      <c r="O321" s="71">
        <v>1317.7080000000001</v>
      </c>
      <c r="P321" s="68">
        <v>1317.7080000000001</v>
      </c>
      <c r="Q321" s="68">
        <v>1317.7080000000001</v>
      </c>
      <c r="R321" s="69" t="s">
        <v>294</v>
      </c>
      <c r="S321" s="69"/>
    </row>
    <row r="322" spans="1:19" ht="120" customHeight="1" x14ac:dyDescent="0.25">
      <c r="A322" s="69"/>
      <c r="B322" s="69" t="s">
        <v>274</v>
      </c>
      <c r="C322" s="70" t="s">
        <v>238</v>
      </c>
      <c r="D322" s="69" t="s">
        <v>159</v>
      </c>
      <c r="E322" s="84" t="s">
        <v>305</v>
      </c>
      <c r="F322" s="70" t="s">
        <v>158</v>
      </c>
      <c r="G322" s="70">
        <v>12</v>
      </c>
      <c r="H322" s="61">
        <v>1255.1600000000001</v>
      </c>
      <c r="I322" s="79">
        <v>0.2</v>
      </c>
      <c r="J322" s="61">
        <v>1882.7392500000003</v>
      </c>
      <c r="K322" s="79">
        <f t="shared" si="4"/>
        <v>0.49999940246661789</v>
      </c>
      <c r="L322" s="68">
        <v>1882.7392500000003</v>
      </c>
      <c r="M322" s="68">
        <v>1882.7392500000003</v>
      </c>
      <c r="N322" s="71">
        <v>1882.7392500000003</v>
      </c>
      <c r="O322" s="71">
        <v>1882.7392500000003</v>
      </c>
      <c r="P322" s="68">
        <v>1882.7392500000003</v>
      </c>
      <c r="Q322" s="68">
        <v>1882.7392500000003</v>
      </c>
      <c r="R322" s="69" t="s">
        <v>294</v>
      </c>
      <c r="S322" s="69"/>
    </row>
    <row r="323" spans="1:19" ht="120" customHeight="1" x14ac:dyDescent="0.25">
      <c r="A323" s="67"/>
      <c r="B323" s="59" t="s">
        <v>53</v>
      </c>
      <c r="C323" s="60" t="s">
        <v>190</v>
      </c>
      <c r="D323" s="59" t="s">
        <v>159</v>
      </c>
      <c r="E323" s="101" t="s">
        <v>462</v>
      </c>
      <c r="F323" s="60" t="s">
        <v>158</v>
      </c>
      <c r="G323" s="60">
        <v>20</v>
      </c>
      <c r="H323" s="61">
        <v>145.04999999999998</v>
      </c>
      <c r="I323" s="79">
        <v>0.2</v>
      </c>
      <c r="J323" s="61">
        <v>217.57049999999998</v>
      </c>
      <c r="K323" s="79">
        <f t="shared" si="4"/>
        <v>0.49996897621509828</v>
      </c>
      <c r="L323" s="68">
        <v>217.57049999999998</v>
      </c>
      <c r="M323" s="68">
        <v>217.57049999999998</v>
      </c>
      <c r="N323" s="68">
        <v>217.57049999999998</v>
      </c>
      <c r="O323" s="68">
        <v>217.57049999999998</v>
      </c>
      <c r="P323" s="68">
        <v>217.57049999999998</v>
      </c>
      <c r="Q323" s="68">
        <v>217.57049999999998</v>
      </c>
      <c r="R323" s="67" t="s">
        <v>232</v>
      </c>
      <c r="S323" s="67"/>
    </row>
    <row r="324" spans="1:19" ht="120" customHeight="1" x14ac:dyDescent="0.25">
      <c r="A324" s="69"/>
      <c r="B324" s="69" t="s">
        <v>256</v>
      </c>
      <c r="C324" s="70" t="s">
        <v>199</v>
      </c>
      <c r="D324" s="69" t="s">
        <v>159</v>
      </c>
      <c r="E324" s="84" t="s">
        <v>305</v>
      </c>
      <c r="F324" s="70" t="s">
        <v>158</v>
      </c>
      <c r="G324" s="70">
        <v>12</v>
      </c>
      <c r="H324" s="61">
        <v>281.45999999999998</v>
      </c>
      <c r="I324" s="79">
        <v>0.2</v>
      </c>
      <c r="J324" s="61">
        <v>422.17875000000004</v>
      </c>
      <c r="K324" s="79">
        <f t="shared" si="4"/>
        <v>0.49996002984438315</v>
      </c>
      <c r="L324" s="68">
        <v>422.17875000000004</v>
      </c>
      <c r="M324" s="68">
        <v>422.17875000000004</v>
      </c>
      <c r="N324" s="71">
        <v>422.17875000000004</v>
      </c>
      <c r="O324" s="71">
        <v>422.17875000000004</v>
      </c>
      <c r="P324" s="68">
        <v>422.17875000000004</v>
      </c>
      <c r="Q324" s="68">
        <v>422.17875000000004</v>
      </c>
      <c r="R324" s="69" t="s">
        <v>294</v>
      </c>
      <c r="S324" s="69"/>
    </row>
    <row r="325" spans="1:19" ht="120" customHeight="1" x14ac:dyDescent="0.25">
      <c r="A325" s="69"/>
      <c r="B325" s="69" t="s">
        <v>257</v>
      </c>
      <c r="C325" s="70" t="s">
        <v>208</v>
      </c>
      <c r="D325" s="69" t="s">
        <v>159</v>
      </c>
      <c r="E325" s="84" t="s">
        <v>305</v>
      </c>
      <c r="F325" s="70" t="s">
        <v>158</v>
      </c>
      <c r="G325" s="70">
        <v>10</v>
      </c>
      <c r="H325" s="61">
        <v>308.45999999999998</v>
      </c>
      <c r="I325" s="79">
        <v>0.2</v>
      </c>
      <c r="J325" s="61">
        <v>462.68775000000005</v>
      </c>
      <c r="K325" s="79">
        <f t="shared" si="4"/>
        <v>0.49999270569928056</v>
      </c>
      <c r="L325" s="68">
        <v>462.68775000000005</v>
      </c>
      <c r="M325" s="68">
        <v>462.68775000000005</v>
      </c>
      <c r="N325" s="71">
        <v>462.68775000000005</v>
      </c>
      <c r="O325" s="71">
        <v>462.68775000000005</v>
      </c>
      <c r="P325" s="68">
        <v>462.68775000000005</v>
      </c>
      <c r="Q325" s="68">
        <v>462.68775000000005</v>
      </c>
      <c r="R325" s="69" t="s">
        <v>294</v>
      </c>
      <c r="S325" s="69"/>
    </row>
    <row r="326" spans="1:19" ht="120" customHeight="1" x14ac:dyDescent="0.25">
      <c r="A326" s="69"/>
      <c r="B326" s="69" t="s">
        <v>258</v>
      </c>
      <c r="C326" s="70" t="s">
        <v>217</v>
      </c>
      <c r="D326" s="69" t="s">
        <v>159</v>
      </c>
      <c r="E326" s="84" t="s">
        <v>305</v>
      </c>
      <c r="F326" s="70" t="s">
        <v>158</v>
      </c>
      <c r="G326" s="70">
        <v>12</v>
      </c>
      <c r="H326" s="61">
        <v>400.84999999999997</v>
      </c>
      <c r="I326" s="79">
        <v>0.2</v>
      </c>
      <c r="J326" s="61">
        <v>601.27200000000005</v>
      </c>
      <c r="K326" s="79">
        <f t="shared" si="4"/>
        <v>0.49999251590370486</v>
      </c>
      <c r="L326" s="68">
        <v>601.27200000000005</v>
      </c>
      <c r="M326" s="68">
        <v>601.27200000000005</v>
      </c>
      <c r="N326" s="71">
        <v>601.27200000000005</v>
      </c>
      <c r="O326" s="71">
        <v>601.27200000000005</v>
      </c>
      <c r="P326" s="68">
        <v>601.27200000000005</v>
      </c>
      <c r="Q326" s="68">
        <v>601.27200000000005</v>
      </c>
      <c r="R326" s="69" t="s">
        <v>294</v>
      </c>
      <c r="S326" s="69"/>
    </row>
    <row r="327" spans="1:19" ht="120" customHeight="1" x14ac:dyDescent="0.25">
      <c r="A327" s="69"/>
      <c r="B327" s="69" t="s">
        <v>259</v>
      </c>
      <c r="C327" s="70" t="s">
        <v>239</v>
      </c>
      <c r="D327" s="69" t="s">
        <v>159</v>
      </c>
      <c r="E327" s="84" t="s">
        <v>305</v>
      </c>
      <c r="F327" s="70" t="s">
        <v>158</v>
      </c>
      <c r="G327" s="70">
        <v>12</v>
      </c>
      <c r="H327" s="61">
        <v>469.09</v>
      </c>
      <c r="I327" s="79">
        <v>0.2</v>
      </c>
      <c r="J327" s="61">
        <v>703.63125000000002</v>
      </c>
      <c r="K327" s="79">
        <f t="shared" si="4"/>
        <v>0.49999200579846104</v>
      </c>
      <c r="L327" s="68">
        <v>703.63125000000002</v>
      </c>
      <c r="M327" s="68">
        <v>703.63125000000002</v>
      </c>
      <c r="N327" s="71">
        <v>703.63125000000002</v>
      </c>
      <c r="O327" s="71">
        <v>703.63125000000002</v>
      </c>
      <c r="P327" s="68">
        <v>703.63125000000002</v>
      </c>
      <c r="Q327" s="68">
        <v>703.63125000000002</v>
      </c>
      <c r="R327" s="69" t="s">
        <v>294</v>
      </c>
      <c r="S327" s="69"/>
    </row>
    <row r="328" spans="1:19" ht="120" customHeight="1" x14ac:dyDescent="0.25">
      <c r="A328" s="69"/>
      <c r="B328" s="69" t="s">
        <v>260</v>
      </c>
      <c r="C328" s="70" t="s">
        <v>240</v>
      </c>
      <c r="D328" s="69" t="s">
        <v>159</v>
      </c>
      <c r="E328" s="84" t="s">
        <v>305</v>
      </c>
      <c r="F328" s="70" t="s">
        <v>158</v>
      </c>
      <c r="G328" s="70">
        <v>12</v>
      </c>
      <c r="H328" s="61">
        <v>598.43999999999994</v>
      </c>
      <c r="I328" s="79">
        <v>0.2</v>
      </c>
      <c r="J328" s="61">
        <v>897.65550000000019</v>
      </c>
      <c r="K328" s="79">
        <f t="shared" si="4"/>
        <v>0.49999248044916822</v>
      </c>
      <c r="L328" s="68">
        <v>897.65550000000019</v>
      </c>
      <c r="M328" s="68">
        <v>897.65550000000019</v>
      </c>
      <c r="N328" s="71">
        <v>897.65550000000019</v>
      </c>
      <c r="O328" s="71">
        <v>897.65550000000019</v>
      </c>
      <c r="P328" s="68">
        <v>897.65550000000019</v>
      </c>
      <c r="Q328" s="68">
        <v>897.65550000000019</v>
      </c>
      <c r="R328" s="69" t="s">
        <v>294</v>
      </c>
      <c r="S328" s="69"/>
    </row>
    <row r="329" spans="1:19" ht="120" customHeight="1" x14ac:dyDescent="0.25">
      <c r="A329" s="69"/>
      <c r="B329" s="69" t="s">
        <v>261</v>
      </c>
      <c r="C329" s="70" t="s">
        <v>241</v>
      </c>
      <c r="D329" s="69" t="s">
        <v>159</v>
      </c>
      <c r="E329" s="84" t="s">
        <v>305</v>
      </c>
      <c r="F329" s="70" t="s">
        <v>158</v>
      </c>
      <c r="G329" s="70">
        <v>12</v>
      </c>
      <c r="H329" s="61">
        <v>845.78</v>
      </c>
      <c r="I329" s="79">
        <v>0.2</v>
      </c>
      <c r="J329" s="61">
        <v>1268.6625000000001</v>
      </c>
      <c r="K329" s="79">
        <f t="shared" si="4"/>
        <v>0.49999113244578997</v>
      </c>
      <c r="L329" s="68">
        <v>1268.6625000000001</v>
      </c>
      <c r="M329" s="68">
        <v>1268.6625000000001</v>
      </c>
      <c r="N329" s="71">
        <v>1268.6625000000001</v>
      </c>
      <c r="O329" s="71">
        <v>1268.6625000000001</v>
      </c>
      <c r="P329" s="68">
        <v>1268.6625000000001</v>
      </c>
      <c r="Q329" s="68">
        <v>1268.6625000000001</v>
      </c>
      <c r="R329" s="69" t="s">
        <v>294</v>
      </c>
      <c r="S329" s="69"/>
    </row>
    <row r="330" spans="1:19" ht="120" customHeight="1" x14ac:dyDescent="0.25">
      <c r="A330" s="67"/>
      <c r="B330" s="59" t="s">
        <v>54</v>
      </c>
      <c r="C330" s="60" t="s">
        <v>191</v>
      </c>
      <c r="D330" s="59" t="s">
        <v>159</v>
      </c>
      <c r="E330" s="101" t="s">
        <v>462</v>
      </c>
      <c r="F330" s="60" t="s">
        <v>158</v>
      </c>
      <c r="G330" s="60">
        <v>15</v>
      </c>
      <c r="H330" s="61">
        <v>171.01</v>
      </c>
      <c r="I330" s="79">
        <v>0.2</v>
      </c>
      <c r="J330" s="61">
        <v>256.50450000000001</v>
      </c>
      <c r="K330" s="79">
        <f t="shared" si="4"/>
        <v>0.49993860008186664</v>
      </c>
      <c r="L330" s="68">
        <v>256.50450000000001</v>
      </c>
      <c r="M330" s="68">
        <v>256.50450000000001</v>
      </c>
      <c r="N330" s="68">
        <v>256.50450000000001</v>
      </c>
      <c r="O330" s="68">
        <v>256.50450000000001</v>
      </c>
      <c r="P330" s="68">
        <v>256.50450000000001</v>
      </c>
      <c r="Q330" s="68">
        <v>256.50450000000001</v>
      </c>
      <c r="R330" s="67" t="s">
        <v>232</v>
      </c>
      <c r="S330" s="67"/>
    </row>
    <row r="331" spans="1:19" ht="120" customHeight="1" x14ac:dyDescent="0.25">
      <c r="A331" s="69"/>
      <c r="B331" s="69" t="s">
        <v>275</v>
      </c>
      <c r="C331" s="70" t="s">
        <v>201</v>
      </c>
      <c r="D331" s="69" t="s">
        <v>159</v>
      </c>
      <c r="E331" s="84" t="s">
        <v>305</v>
      </c>
      <c r="F331" s="70" t="s">
        <v>158</v>
      </c>
      <c r="G331" s="70">
        <v>12</v>
      </c>
      <c r="H331" s="61">
        <v>362.48</v>
      </c>
      <c r="I331" s="79">
        <v>0.2</v>
      </c>
      <c r="J331" s="61">
        <v>543.70575000000008</v>
      </c>
      <c r="K331" s="79">
        <f t="shared" si="4"/>
        <v>0.49996068748620637</v>
      </c>
      <c r="L331" s="68">
        <v>543.70575000000008</v>
      </c>
      <c r="M331" s="68">
        <v>543.70575000000008</v>
      </c>
      <c r="N331" s="71">
        <v>543.70575000000008</v>
      </c>
      <c r="O331" s="71">
        <v>543.70575000000008</v>
      </c>
      <c r="P331" s="68">
        <v>543.70575000000008</v>
      </c>
      <c r="Q331" s="68">
        <v>543.70575000000008</v>
      </c>
      <c r="R331" s="69" t="s">
        <v>294</v>
      </c>
      <c r="S331" s="69"/>
    </row>
    <row r="332" spans="1:19" ht="120" customHeight="1" x14ac:dyDescent="0.25">
      <c r="A332" s="69"/>
      <c r="B332" s="69" t="s">
        <v>276</v>
      </c>
      <c r="C332" s="70" t="s">
        <v>209</v>
      </c>
      <c r="D332" s="69" t="s">
        <v>159</v>
      </c>
      <c r="E332" s="84" t="s">
        <v>305</v>
      </c>
      <c r="F332" s="70" t="s">
        <v>158</v>
      </c>
      <c r="G332" s="70">
        <v>12</v>
      </c>
      <c r="H332" s="61">
        <v>416.5</v>
      </c>
      <c r="I332" s="79">
        <v>0.2</v>
      </c>
      <c r="J332" s="61">
        <v>624.73950000000013</v>
      </c>
      <c r="K332" s="79">
        <f t="shared" ref="K332:K364" si="5">+J332/H332-1</f>
        <v>0.49997478991596678</v>
      </c>
      <c r="L332" s="68">
        <v>624.73950000000013</v>
      </c>
      <c r="M332" s="68">
        <v>624.73950000000013</v>
      </c>
      <c r="N332" s="71">
        <v>624.73950000000013</v>
      </c>
      <c r="O332" s="71">
        <v>624.73950000000013</v>
      </c>
      <c r="P332" s="68">
        <v>624.73950000000013</v>
      </c>
      <c r="Q332" s="68">
        <v>624.73950000000013</v>
      </c>
      <c r="R332" s="69" t="s">
        <v>294</v>
      </c>
      <c r="S332" s="69"/>
    </row>
    <row r="333" spans="1:19" ht="120" customHeight="1" x14ac:dyDescent="0.25">
      <c r="A333" s="69"/>
      <c r="B333" s="69" t="s">
        <v>277</v>
      </c>
      <c r="C333" s="70" t="s">
        <v>219</v>
      </c>
      <c r="D333" s="69" t="s">
        <v>159</v>
      </c>
      <c r="E333" s="84" t="s">
        <v>305</v>
      </c>
      <c r="F333" s="70" t="s">
        <v>158</v>
      </c>
      <c r="G333" s="70">
        <v>12</v>
      </c>
      <c r="H333" s="61">
        <v>572.86</v>
      </c>
      <c r="I333" s="79">
        <v>0.2</v>
      </c>
      <c r="J333" s="61">
        <v>859.28850000000011</v>
      </c>
      <c r="K333" s="79">
        <f t="shared" si="5"/>
        <v>0.49999738155919449</v>
      </c>
      <c r="L333" s="68">
        <v>859.28850000000011</v>
      </c>
      <c r="M333" s="68">
        <v>859.28850000000011</v>
      </c>
      <c r="N333" s="71">
        <v>859.28850000000011</v>
      </c>
      <c r="O333" s="71">
        <v>859.28850000000011</v>
      </c>
      <c r="P333" s="68">
        <v>859.28850000000011</v>
      </c>
      <c r="Q333" s="68">
        <v>859.28850000000011</v>
      </c>
      <c r="R333" s="69" t="s">
        <v>294</v>
      </c>
      <c r="S333" s="69"/>
    </row>
    <row r="334" spans="1:19" ht="120" customHeight="1" x14ac:dyDescent="0.25">
      <c r="A334" s="69"/>
      <c r="B334" s="69" t="s">
        <v>278</v>
      </c>
      <c r="C334" s="70" t="s">
        <v>242</v>
      </c>
      <c r="D334" s="69" t="s">
        <v>159</v>
      </c>
      <c r="E334" s="84" t="s">
        <v>305</v>
      </c>
      <c r="F334" s="70" t="s">
        <v>158</v>
      </c>
      <c r="G334" s="70">
        <v>12</v>
      </c>
      <c r="H334" s="61">
        <v>715.01</v>
      </c>
      <c r="I334" s="79">
        <v>0.2</v>
      </c>
      <c r="J334" s="61">
        <v>1072.5120000000002</v>
      </c>
      <c r="K334" s="79">
        <f t="shared" si="5"/>
        <v>0.49999580425448631</v>
      </c>
      <c r="L334" s="68">
        <v>1072.5120000000002</v>
      </c>
      <c r="M334" s="68">
        <v>1072.5120000000002</v>
      </c>
      <c r="N334" s="71">
        <v>1072.5120000000002</v>
      </c>
      <c r="O334" s="71">
        <v>1072.5120000000002</v>
      </c>
      <c r="P334" s="68">
        <v>1072.5120000000002</v>
      </c>
      <c r="Q334" s="68">
        <v>1072.5120000000002</v>
      </c>
      <c r="R334" s="69" t="s">
        <v>294</v>
      </c>
      <c r="S334" s="69"/>
    </row>
    <row r="335" spans="1:19" ht="120" customHeight="1" x14ac:dyDescent="0.25">
      <c r="A335" s="69"/>
      <c r="B335" s="69" t="s">
        <v>279</v>
      </c>
      <c r="C335" s="70" t="s">
        <v>243</v>
      </c>
      <c r="D335" s="69" t="s">
        <v>159</v>
      </c>
      <c r="E335" s="84" t="s">
        <v>305</v>
      </c>
      <c r="F335" s="70" t="s">
        <v>158</v>
      </c>
      <c r="G335" s="70">
        <v>12</v>
      </c>
      <c r="H335" s="61">
        <v>896.95</v>
      </c>
      <c r="I335" s="79">
        <v>0.2</v>
      </c>
      <c r="J335" s="61">
        <v>1345.4122500000001</v>
      </c>
      <c r="K335" s="79">
        <f t="shared" si="5"/>
        <v>0.4999857851608227</v>
      </c>
      <c r="L335" s="68">
        <v>1345.4122500000001</v>
      </c>
      <c r="M335" s="68">
        <v>1345.4122500000001</v>
      </c>
      <c r="N335" s="71">
        <v>1345.4122500000001</v>
      </c>
      <c r="O335" s="71">
        <v>1345.4122500000001</v>
      </c>
      <c r="P335" s="68">
        <v>1345.4122500000001</v>
      </c>
      <c r="Q335" s="68">
        <v>1345.4122500000001</v>
      </c>
      <c r="R335" s="69" t="s">
        <v>294</v>
      </c>
      <c r="S335" s="69"/>
    </row>
    <row r="336" spans="1:19" ht="120" customHeight="1" x14ac:dyDescent="0.25">
      <c r="A336" s="69"/>
      <c r="B336" s="69" t="s">
        <v>280</v>
      </c>
      <c r="C336" s="70" t="s">
        <v>244</v>
      </c>
      <c r="D336" s="69" t="s">
        <v>159</v>
      </c>
      <c r="E336" s="84" t="s">
        <v>305</v>
      </c>
      <c r="F336" s="70" t="s">
        <v>158</v>
      </c>
      <c r="G336" s="70">
        <v>12</v>
      </c>
      <c r="H336" s="61">
        <v>1270.8</v>
      </c>
      <c r="I336" s="79">
        <v>0.2</v>
      </c>
      <c r="J336" s="61">
        <v>1906.1910000000003</v>
      </c>
      <c r="K336" s="79">
        <f t="shared" si="5"/>
        <v>0.49999291784702571</v>
      </c>
      <c r="L336" s="68">
        <v>1906.1910000000003</v>
      </c>
      <c r="M336" s="68">
        <v>1906.1910000000003</v>
      </c>
      <c r="N336" s="71">
        <v>1906.1910000000003</v>
      </c>
      <c r="O336" s="71">
        <v>1906.1910000000003</v>
      </c>
      <c r="P336" s="68">
        <v>1906.1910000000003</v>
      </c>
      <c r="Q336" s="68">
        <v>1906.1910000000003</v>
      </c>
      <c r="R336" s="69" t="s">
        <v>294</v>
      </c>
      <c r="S336" s="69"/>
    </row>
    <row r="337" spans="1:19" ht="120" customHeight="1" x14ac:dyDescent="0.25">
      <c r="A337" s="67"/>
      <c r="B337" s="59" t="s">
        <v>56</v>
      </c>
      <c r="C337" s="60" t="s">
        <v>193</v>
      </c>
      <c r="D337" s="59" t="s">
        <v>159</v>
      </c>
      <c r="E337" s="101" t="s">
        <v>463</v>
      </c>
      <c r="F337" s="60" t="s">
        <v>158</v>
      </c>
      <c r="G337" s="60">
        <v>20</v>
      </c>
      <c r="H337" s="61">
        <v>195.42999999999998</v>
      </c>
      <c r="I337" s="79">
        <v>0.2</v>
      </c>
      <c r="J337" s="61">
        <v>293.13900000000001</v>
      </c>
      <c r="K337" s="79">
        <f t="shared" si="5"/>
        <v>0.49996929847004057</v>
      </c>
      <c r="L337" s="68">
        <v>293.13900000000001</v>
      </c>
      <c r="M337" s="68">
        <v>293.13900000000001</v>
      </c>
      <c r="N337" s="68">
        <v>293.13900000000001</v>
      </c>
      <c r="O337" s="68">
        <v>293.13900000000001</v>
      </c>
      <c r="P337" s="68">
        <v>293.13900000000001</v>
      </c>
      <c r="Q337" s="68">
        <v>293.13900000000001</v>
      </c>
      <c r="R337" s="67" t="s">
        <v>232</v>
      </c>
      <c r="S337" s="67"/>
    </row>
    <row r="338" spans="1:19" ht="120" customHeight="1" x14ac:dyDescent="0.25">
      <c r="A338" s="69"/>
      <c r="B338" s="69" t="s">
        <v>262</v>
      </c>
      <c r="C338" s="70" t="s">
        <v>202</v>
      </c>
      <c r="D338" s="69" t="s">
        <v>159</v>
      </c>
      <c r="E338" s="84" t="s">
        <v>305</v>
      </c>
      <c r="F338" s="70" t="s">
        <v>158</v>
      </c>
      <c r="G338" s="70">
        <v>12</v>
      </c>
      <c r="H338" s="61">
        <v>325.52999999999997</v>
      </c>
      <c r="I338" s="79">
        <v>0.2</v>
      </c>
      <c r="J338" s="61">
        <v>488.28150000000005</v>
      </c>
      <c r="K338" s="79">
        <f t="shared" si="5"/>
        <v>0.49995852916781902</v>
      </c>
      <c r="L338" s="68">
        <v>488.28150000000005</v>
      </c>
      <c r="M338" s="68">
        <v>488.28150000000005</v>
      </c>
      <c r="N338" s="71">
        <v>488.28150000000005</v>
      </c>
      <c r="O338" s="71">
        <v>488.28150000000005</v>
      </c>
      <c r="P338" s="68">
        <v>488.28150000000005</v>
      </c>
      <c r="Q338" s="68">
        <v>488.28150000000005</v>
      </c>
      <c r="R338" s="69" t="s">
        <v>294</v>
      </c>
      <c r="S338" s="69"/>
    </row>
    <row r="339" spans="1:19" ht="120" customHeight="1" x14ac:dyDescent="0.25">
      <c r="A339" s="69"/>
      <c r="B339" s="69" t="s">
        <v>263</v>
      </c>
      <c r="C339" s="70" t="s">
        <v>211</v>
      </c>
      <c r="D339" s="69" t="s">
        <v>159</v>
      </c>
      <c r="E339" s="84" t="s">
        <v>305</v>
      </c>
      <c r="F339" s="70" t="s">
        <v>158</v>
      </c>
      <c r="G339" s="70">
        <v>12</v>
      </c>
      <c r="H339" s="61">
        <v>352.53</v>
      </c>
      <c r="I339" s="79">
        <v>0.2</v>
      </c>
      <c r="J339" s="61">
        <v>528.79050000000007</v>
      </c>
      <c r="K339" s="79">
        <f t="shared" si="5"/>
        <v>0.4999872351289254</v>
      </c>
      <c r="L339" s="68">
        <v>528.79050000000007</v>
      </c>
      <c r="M339" s="68">
        <v>528.79050000000007</v>
      </c>
      <c r="N339" s="71">
        <v>528.79050000000007</v>
      </c>
      <c r="O339" s="71">
        <v>528.79050000000007</v>
      </c>
      <c r="P339" s="68">
        <v>528.79050000000007</v>
      </c>
      <c r="Q339" s="68">
        <v>528.79050000000007</v>
      </c>
      <c r="R339" s="69" t="s">
        <v>294</v>
      </c>
      <c r="S339" s="69"/>
    </row>
    <row r="340" spans="1:19" ht="120" customHeight="1" x14ac:dyDescent="0.25">
      <c r="A340" s="69"/>
      <c r="B340" s="69" t="s">
        <v>264</v>
      </c>
      <c r="C340" s="70" t="s">
        <v>220</v>
      </c>
      <c r="D340" s="69" t="s">
        <v>159</v>
      </c>
      <c r="E340" s="84" t="s">
        <v>305</v>
      </c>
      <c r="F340" s="70" t="s">
        <v>158</v>
      </c>
      <c r="G340" s="70">
        <v>12</v>
      </c>
      <c r="H340" s="61">
        <v>423.61</v>
      </c>
      <c r="I340" s="79">
        <v>0.2</v>
      </c>
      <c r="J340" s="61">
        <v>635.40225000000009</v>
      </c>
      <c r="K340" s="79">
        <f t="shared" si="5"/>
        <v>0.49996990156039778</v>
      </c>
      <c r="L340" s="68">
        <v>635.40225000000009</v>
      </c>
      <c r="M340" s="68">
        <v>635.40225000000009</v>
      </c>
      <c r="N340" s="71">
        <v>635.40225000000009</v>
      </c>
      <c r="O340" s="71">
        <v>635.40225000000009</v>
      </c>
      <c r="P340" s="68">
        <v>635.40225000000009</v>
      </c>
      <c r="Q340" s="68">
        <v>635.40225000000009</v>
      </c>
      <c r="R340" s="69" t="s">
        <v>294</v>
      </c>
      <c r="S340" s="69"/>
    </row>
    <row r="341" spans="1:19" ht="120" customHeight="1" x14ac:dyDescent="0.25">
      <c r="A341" s="69"/>
      <c r="B341" s="69" t="s">
        <v>265</v>
      </c>
      <c r="C341" s="70" t="s">
        <v>245</v>
      </c>
      <c r="D341" s="69" t="s">
        <v>159</v>
      </c>
      <c r="E341" s="84" t="s">
        <v>305</v>
      </c>
      <c r="F341" s="70" t="s">
        <v>158</v>
      </c>
      <c r="G341" s="70">
        <v>12</v>
      </c>
      <c r="H341" s="61">
        <v>511.73</v>
      </c>
      <c r="I341" s="79">
        <v>0.2</v>
      </c>
      <c r="J341" s="61">
        <v>767.59199999999998</v>
      </c>
      <c r="K341" s="79">
        <f t="shared" si="5"/>
        <v>0.49999413753346489</v>
      </c>
      <c r="L341" s="68">
        <v>767.59199999999998</v>
      </c>
      <c r="M341" s="68">
        <v>767.59199999999998</v>
      </c>
      <c r="N341" s="71">
        <v>767.59199999999998</v>
      </c>
      <c r="O341" s="71">
        <v>767.59199999999998</v>
      </c>
      <c r="P341" s="68">
        <v>767.59199999999998</v>
      </c>
      <c r="Q341" s="68">
        <v>767.59199999999998</v>
      </c>
      <c r="R341" s="69" t="s">
        <v>294</v>
      </c>
      <c r="S341" s="69"/>
    </row>
    <row r="342" spans="1:19" ht="120" customHeight="1" x14ac:dyDescent="0.25">
      <c r="A342" s="69"/>
      <c r="B342" s="69" t="s">
        <v>266</v>
      </c>
      <c r="C342" s="70" t="s">
        <v>246</v>
      </c>
      <c r="D342" s="69" t="s">
        <v>159</v>
      </c>
      <c r="E342" s="84" t="s">
        <v>305</v>
      </c>
      <c r="F342" s="70" t="s">
        <v>158</v>
      </c>
      <c r="G342" s="70">
        <v>12</v>
      </c>
      <c r="H342" s="61">
        <v>615.5</v>
      </c>
      <c r="I342" s="79">
        <v>0.2</v>
      </c>
      <c r="J342" s="61">
        <v>923.24925000000019</v>
      </c>
      <c r="K342" s="79">
        <f t="shared" si="5"/>
        <v>0.49999878147847299</v>
      </c>
      <c r="L342" s="68">
        <v>923.24925000000019</v>
      </c>
      <c r="M342" s="68">
        <v>923.24925000000019</v>
      </c>
      <c r="N342" s="71">
        <v>923.24925000000019</v>
      </c>
      <c r="O342" s="71">
        <v>923.24925000000019</v>
      </c>
      <c r="P342" s="68">
        <v>923.24925000000019</v>
      </c>
      <c r="Q342" s="68">
        <v>923.24925000000019</v>
      </c>
      <c r="R342" s="69" t="s">
        <v>294</v>
      </c>
      <c r="S342" s="69"/>
    </row>
    <row r="343" spans="1:19" ht="120" customHeight="1" x14ac:dyDescent="0.25">
      <c r="A343" s="67"/>
      <c r="B343" s="59" t="s">
        <v>57</v>
      </c>
      <c r="C343" s="60" t="s">
        <v>194</v>
      </c>
      <c r="D343" s="59" t="s">
        <v>159</v>
      </c>
      <c r="E343" s="101" t="s">
        <v>463</v>
      </c>
      <c r="F343" s="60" t="s">
        <v>158</v>
      </c>
      <c r="G343" s="60">
        <v>20</v>
      </c>
      <c r="H343" s="61">
        <v>209.17999999999998</v>
      </c>
      <c r="I343" s="79">
        <v>0.2</v>
      </c>
      <c r="J343" s="61">
        <v>313.75575000000003</v>
      </c>
      <c r="K343" s="79">
        <f t="shared" si="5"/>
        <v>0.49993187685247187</v>
      </c>
      <c r="L343" s="68">
        <v>313.75575000000003</v>
      </c>
      <c r="M343" s="68">
        <v>313.75575000000003</v>
      </c>
      <c r="N343" s="68">
        <v>313.75575000000003</v>
      </c>
      <c r="O343" s="68">
        <v>313.75575000000003</v>
      </c>
      <c r="P343" s="68">
        <v>313.75575000000003</v>
      </c>
      <c r="Q343" s="68">
        <v>313.75575000000003</v>
      </c>
      <c r="R343" s="67" t="s">
        <v>232</v>
      </c>
      <c r="S343" s="67"/>
    </row>
    <row r="344" spans="1:19" s="62" customFormat="1" ht="120" customHeight="1" x14ac:dyDescent="0.25">
      <c r="A344" s="69"/>
      <c r="B344" s="69" t="s">
        <v>281</v>
      </c>
      <c r="C344" s="70" t="s">
        <v>203</v>
      </c>
      <c r="D344" s="69" t="s">
        <v>159</v>
      </c>
      <c r="E344" s="69" t="s">
        <v>305</v>
      </c>
      <c r="F344" s="70" t="s">
        <v>158</v>
      </c>
      <c r="G344" s="70">
        <v>12</v>
      </c>
      <c r="H344" s="61">
        <v>403.71</v>
      </c>
      <c r="I344" s="79">
        <v>0.2</v>
      </c>
      <c r="J344" s="61">
        <v>605.55600000000004</v>
      </c>
      <c r="K344" s="79">
        <f t="shared" si="5"/>
        <v>0.49997770676971109</v>
      </c>
      <c r="L344" s="68">
        <v>605.55600000000004</v>
      </c>
      <c r="M344" s="68">
        <v>605.55600000000004</v>
      </c>
      <c r="N344" s="71">
        <v>605.55600000000004</v>
      </c>
      <c r="O344" s="71">
        <v>605.55600000000004</v>
      </c>
      <c r="P344" s="68">
        <v>605.55600000000004</v>
      </c>
      <c r="Q344" s="68">
        <v>605.55600000000004</v>
      </c>
      <c r="R344" s="69" t="s">
        <v>294</v>
      </c>
      <c r="S344" s="69"/>
    </row>
    <row r="345" spans="1:19" s="62" customFormat="1" ht="120" customHeight="1" x14ac:dyDescent="0.25">
      <c r="A345" s="69"/>
      <c r="B345" s="69" t="s">
        <v>282</v>
      </c>
      <c r="C345" s="70" t="s">
        <v>212</v>
      </c>
      <c r="D345" s="69" t="s">
        <v>159</v>
      </c>
      <c r="E345" s="69" t="s">
        <v>305</v>
      </c>
      <c r="F345" s="70" t="s">
        <v>158</v>
      </c>
      <c r="G345" s="70">
        <v>12</v>
      </c>
      <c r="H345" s="61">
        <v>474.77</v>
      </c>
      <c r="I345" s="79">
        <v>0.2</v>
      </c>
      <c r="J345" s="61">
        <v>712.15200000000004</v>
      </c>
      <c r="K345" s="79">
        <f t="shared" si="5"/>
        <v>0.49999368115087317</v>
      </c>
      <c r="L345" s="68">
        <v>712.15200000000004</v>
      </c>
      <c r="M345" s="68">
        <v>712.15200000000004</v>
      </c>
      <c r="N345" s="71">
        <v>712.15200000000004</v>
      </c>
      <c r="O345" s="71">
        <v>712.15200000000004</v>
      </c>
      <c r="P345" s="68">
        <v>712.15200000000004</v>
      </c>
      <c r="Q345" s="68">
        <v>712.15200000000004</v>
      </c>
      <c r="R345" s="69" t="s">
        <v>294</v>
      </c>
      <c r="S345" s="69"/>
    </row>
    <row r="346" spans="1:19" s="62" customFormat="1" ht="120" customHeight="1" x14ac:dyDescent="0.25">
      <c r="A346" s="69"/>
      <c r="B346" s="69" t="s">
        <v>283</v>
      </c>
      <c r="C346" s="70" t="s">
        <v>221</v>
      </c>
      <c r="D346" s="69" t="s">
        <v>159</v>
      </c>
      <c r="E346" s="69" t="s">
        <v>305</v>
      </c>
      <c r="F346" s="70" t="s">
        <v>158</v>
      </c>
      <c r="G346" s="70">
        <v>12</v>
      </c>
      <c r="H346" s="61">
        <v>622.61</v>
      </c>
      <c r="I346" s="79">
        <v>0.2</v>
      </c>
      <c r="J346" s="61">
        <v>933.91200000000003</v>
      </c>
      <c r="K346" s="79">
        <f t="shared" si="5"/>
        <v>0.4999951815743402</v>
      </c>
      <c r="L346" s="68">
        <v>933.91200000000003</v>
      </c>
      <c r="M346" s="68">
        <v>933.91200000000003</v>
      </c>
      <c r="N346" s="71">
        <v>933.91200000000003</v>
      </c>
      <c r="O346" s="71">
        <v>933.91200000000003</v>
      </c>
      <c r="P346" s="68">
        <v>933.91200000000003</v>
      </c>
      <c r="Q346" s="68">
        <v>933.91200000000003</v>
      </c>
      <c r="R346" s="69" t="s">
        <v>294</v>
      </c>
      <c r="S346" s="69"/>
    </row>
    <row r="347" spans="1:19" s="62" customFormat="1" ht="120" customHeight="1" x14ac:dyDescent="0.25">
      <c r="A347" s="69"/>
      <c r="B347" s="69" t="s">
        <v>284</v>
      </c>
      <c r="C347" s="70" t="s">
        <v>247</v>
      </c>
      <c r="D347" s="69" t="s">
        <v>159</v>
      </c>
      <c r="E347" s="69" t="s">
        <v>305</v>
      </c>
      <c r="F347" s="70" t="s">
        <v>158</v>
      </c>
      <c r="G347" s="70">
        <v>12</v>
      </c>
      <c r="H347" s="61">
        <v>742.01</v>
      </c>
      <c r="I347" s="79">
        <v>0.2</v>
      </c>
      <c r="J347" s="61">
        <v>1113.0052500000002</v>
      </c>
      <c r="K347" s="79">
        <f t="shared" si="5"/>
        <v>0.49998686001536385</v>
      </c>
      <c r="L347" s="68">
        <v>1113.0052500000002</v>
      </c>
      <c r="M347" s="68">
        <v>1113.0052500000002</v>
      </c>
      <c r="N347" s="71">
        <v>1113.0052500000002</v>
      </c>
      <c r="O347" s="71">
        <v>1113.0052500000002</v>
      </c>
      <c r="P347" s="68">
        <v>1113.0052500000002</v>
      </c>
      <c r="Q347" s="68">
        <v>1113.0052500000002</v>
      </c>
      <c r="R347" s="69" t="s">
        <v>294</v>
      </c>
      <c r="S347" s="69"/>
    </row>
    <row r="348" spans="1:19" s="62" customFormat="1" ht="120" customHeight="1" x14ac:dyDescent="0.25">
      <c r="A348" s="69"/>
      <c r="B348" s="69" t="s">
        <v>285</v>
      </c>
      <c r="C348" s="70" t="s">
        <v>248</v>
      </c>
      <c r="D348" s="69" t="s">
        <v>159</v>
      </c>
      <c r="E348" s="69" t="s">
        <v>305</v>
      </c>
      <c r="F348" s="70" t="s">
        <v>158</v>
      </c>
      <c r="G348" s="70">
        <v>12</v>
      </c>
      <c r="H348" s="61">
        <v>962.33</v>
      </c>
      <c r="I348" s="79">
        <v>0.2</v>
      </c>
      <c r="J348" s="61">
        <v>1443.4875000000002</v>
      </c>
      <c r="K348" s="79">
        <f t="shared" si="5"/>
        <v>0.49999220641567876</v>
      </c>
      <c r="L348" s="68">
        <v>1443.4875000000002</v>
      </c>
      <c r="M348" s="68">
        <v>1443.4875000000002</v>
      </c>
      <c r="N348" s="71">
        <v>1443.4875000000002</v>
      </c>
      <c r="O348" s="71">
        <v>1443.4875000000002</v>
      </c>
      <c r="P348" s="68">
        <v>1443.4875000000002</v>
      </c>
      <c r="Q348" s="68">
        <v>1443.4875000000002</v>
      </c>
      <c r="R348" s="69" t="s">
        <v>294</v>
      </c>
      <c r="S348" s="69"/>
    </row>
    <row r="349" spans="1:19" s="62" customFormat="1" ht="120" customHeight="1" x14ac:dyDescent="0.25">
      <c r="A349" s="69"/>
      <c r="B349" s="69" t="s">
        <v>286</v>
      </c>
      <c r="C349" s="70" t="s">
        <v>249</v>
      </c>
      <c r="D349" s="69" t="s">
        <v>159</v>
      </c>
      <c r="E349" s="69" t="s">
        <v>305</v>
      </c>
      <c r="F349" s="70" t="s">
        <v>158</v>
      </c>
      <c r="G349" s="70">
        <v>12</v>
      </c>
      <c r="H349" s="61">
        <v>1304.9100000000001</v>
      </c>
      <c r="I349" s="79">
        <v>0.2</v>
      </c>
      <c r="J349" s="61">
        <v>1957.36275</v>
      </c>
      <c r="K349" s="79">
        <f t="shared" si="5"/>
        <v>0.4999982757431547</v>
      </c>
      <c r="L349" s="68">
        <v>1957.36275</v>
      </c>
      <c r="M349" s="68">
        <v>1957.36275</v>
      </c>
      <c r="N349" s="71">
        <v>1957.36275</v>
      </c>
      <c r="O349" s="71">
        <v>1957.36275</v>
      </c>
      <c r="P349" s="68">
        <v>1957.36275</v>
      </c>
      <c r="Q349" s="68">
        <v>1957.36275</v>
      </c>
      <c r="R349" s="69" t="s">
        <v>294</v>
      </c>
      <c r="S349" s="69"/>
    </row>
    <row r="350" spans="1:19" s="62" customFormat="1" ht="120" customHeight="1" x14ac:dyDescent="0.25">
      <c r="A350" s="67"/>
      <c r="B350" s="59" t="s">
        <v>227</v>
      </c>
      <c r="C350" s="60" t="s">
        <v>195</v>
      </c>
      <c r="D350" s="59" t="s">
        <v>159</v>
      </c>
      <c r="E350" s="59" t="s">
        <v>464</v>
      </c>
      <c r="F350" s="60" t="s">
        <v>158</v>
      </c>
      <c r="G350" s="60">
        <v>12</v>
      </c>
      <c r="H350" s="61">
        <v>320.62</v>
      </c>
      <c r="I350" s="79">
        <v>0.2</v>
      </c>
      <c r="J350" s="61">
        <v>480.9262500000001</v>
      </c>
      <c r="K350" s="79">
        <f t="shared" si="5"/>
        <v>0.49998830391117233</v>
      </c>
      <c r="L350" s="68">
        <v>480.9262500000001</v>
      </c>
      <c r="M350" s="68">
        <v>480.9262500000001</v>
      </c>
      <c r="N350" s="68">
        <v>480.9262500000001</v>
      </c>
      <c r="O350" s="68">
        <v>480.9262500000001</v>
      </c>
      <c r="P350" s="68">
        <v>480.9262500000001</v>
      </c>
      <c r="Q350" s="68">
        <v>480.9262500000001</v>
      </c>
      <c r="R350" s="67" t="s">
        <v>232</v>
      </c>
      <c r="S350" s="67"/>
    </row>
    <row r="351" spans="1:19" s="62" customFormat="1" ht="120" customHeight="1" x14ac:dyDescent="0.25">
      <c r="A351" s="69"/>
      <c r="B351" s="69" t="s">
        <v>287</v>
      </c>
      <c r="C351" s="70" t="s">
        <v>205</v>
      </c>
      <c r="D351" s="69" t="s">
        <v>159</v>
      </c>
      <c r="E351" s="69" t="s">
        <v>465</v>
      </c>
      <c r="F351" s="70" t="s">
        <v>158</v>
      </c>
      <c r="G351" s="70">
        <v>12</v>
      </c>
      <c r="H351" s="61">
        <v>503.21</v>
      </c>
      <c r="I351" s="79">
        <v>0.2</v>
      </c>
      <c r="J351" s="61">
        <v>754.80300000000011</v>
      </c>
      <c r="K351" s="79">
        <f t="shared" si="5"/>
        <v>0.49997615309711674</v>
      </c>
      <c r="L351" s="68">
        <v>754.80300000000011</v>
      </c>
      <c r="M351" s="68">
        <v>754.80300000000011</v>
      </c>
      <c r="N351" s="71">
        <v>754.80300000000011</v>
      </c>
      <c r="O351" s="71">
        <v>754.80300000000011</v>
      </c>
      <c r="P351" s="68">
        <v>754.80300000000011</v>
      </c>
      <c r="Q351" s="68">
        <v>754.80300000000011</v>
      </c>
      <c r="R351" s="69" t="s">
        <v>294</v>
      </c>
      <c r="S351" s="69"/>
    </row>
    <row r="352" spans="1:19" s="62" customFormat="1" ht="120" customHeight="1" x14ac:dyDescent="0.25">
      <c r="A352" s="69"/>
      <c r="B352" s="69" t="s">
        <v>288</v>
      </c>
      <c r="C352" s="70" t="s">
        <v>214</v>
      </c>
      <c r="D352" s="69" t="s">
        <v>159</v>
      </c>
      <c r="E352" s="69" t="s">
        <v>465</v>
      </c>
      <c r="F352" s="70" t="s">
        <v>158</v>
      </c>
      <c r="G352" s="70">
        <v>12</v>
      </c>
      <c r="H352" s="61">
        <v>575.70000000000005</v>
      </c>
      <c r="I352" s="79">
        <v>0.2</v>
      </c>
      <c r="J352" s="61">
        <v>863.54099999999994</v>
      </c>
      <c r="K352" s="79">
        <f t="shared" si="5"/>
        <v>0.49998436685773817</v>
      </c>
      <c r="L352" s="68">
        <v>863.54099999999994</v>
      </c>
      <c r="M352" s="68">
        <v>863.54099999999994</v>
      </c>
      <c r="N352" s="71">
        <v>863.54099999999994</v>
      </c>
      <c r="O352" s="71">
        <v>863.54099999999994</v>
      </c>
      <c r="P352" s="68">
        <v>863.54099999999994</v>
      </c>
      <c r="Q352" s="68">
        <v>863.54099999999994</v>
      </c>
      <c r="R352" s="69" t="s">
        <v>294</v>
      </c>
      <c r="S352" s="69"/>
    </row>
    <row r="353" spans="1:19" s="62" customFormat="1" ht="120" customHeight="1" x14ac:dyDescent="0.25">
      <c r="A353" s="69"/>
      <c r="B353" s="69" t="s">
        <v>289</v>
      </c>
      <c r="C353" s="70" t="s">
        <v>223</v>
      </c>
      <c r="D353" s="69" t="s">
        <v>159</v>
      </c>
      <c r="E353" s="69" t="s">
        <v>465</v>
      </c>
      <c r="F353" s="70" t="s">
        <v>158</v>
      </c>
      <c r="G353" s="70">
        <v>12</v>
      </c>
      <c r="H353" s="61">
        <v>707.9</v>
      </c>
      <c r="I353" s="79">
        <v>0.2</v>
      </c>
      <c r="J353" s="61">
        <v>1061.8492500000002</v>
      </c>
      <c r="K353" s="79">
        <f t="shared" si="5"/>
        <v>0.49999894052832361</v>
      </c>
      <c r="L353" s="68">
        <v>1061.8492500000002</v>
      </c>
      <c r="M353" s="68">
        <v>1061.8492500000002</v>
      </c>
      <c r="N353" s="71">
        <v>1061.8492500000002</v>
      </c>
      <c r="O353" s="71">
        <v>1061.8492500000002</v>
      </c>
      <c r="P353" s="68">
        <v>1061.8492500000002</v>
      </c>
      <c r="Q353" s="68">
        <v>1061.8492500000002</v>
      </c>
      <c r="R353" s="69" t="s">
        <v>294</v>
      </c>
      <c r="S353" s="69"/>
    </row>
    <row r="354" spans="1:19" s="62" customFormat="1" ht="120" customHeight="1" x14ac:dyDescent="0.25">
      <c r="A354" s="67"/>
      <c r="B354" s="59" t="s">
        <v>55</v>
      </c>
      <c r="C354" s="60" t="s">
        <v>192</v>
      </c>
      <c r="D354" s="59" t="s">
        <v>159</v>
      </c>
      <c r="E354" s="59" t="s">
        <v>462</v>
      </c>
      <c r="F354" s="60" t="s">
        <v>158</v>
      </c>
      <c r="G354" s="60">
        <v>20</v>
      </c>
      <c r="H354" s="61">
        <v>273.3</v>
      </c>
      <c r="I354" s="79">
        <v>0.2</v>
      </c>
      <c r="J354" s="61">
        <v>409.94099999999997</v>
      </c>
      <c r="K354" s="79">
        <f t="shared" si="5"/>
        <v>0.49996706915477485</v>
      </c>
      <c r="L354" s="68">
        <v>409.94099999999997</v>
      </c>
      <c r="M354" s="68">
        <v>409.94099999999997</v>
      </c>
      <c r="N354" s="68">
        <v>409.94099999999997</v>
      </c>
      <c r="O354" s="68">
        <v>409.94099999999997</v>
      </c>
      <c r="P354" s="68">
        <v>409.94099999999997</v>
      </c>
      <c r="Q354" s="68">
        <v>409.94099999999997</v>
      </c>
      <c r="R354" s="67" t="s">
        <v>232</v>
      </c>
      <c r="S354" s="67"/>
    </row>
    <row r="355" spans="1:19" s="62" customFormat="1" ht="120" customHeight="1" x14ac:dyDescent="0.25">
      <c r="A355" s="69"/>
      <c r="B355" s="69" t="s">
        <v>267</v>
      </c>
      <c r="C355" s="70" t="s">
        <v>200</v>
      </c>
      <c r="D355" s="69" t="s">
        <v>159</v>
      </c>
      <c r="E355" s="69" t="s">
        <v>305</v>
      </c>
      <c r="F355" s="70" t="s">
        <v>158</v>
      </c>
      <c r="G355" s="70">
        <v>12</v>
      </c>
      <c r="H355" s="61">
        <v>489.69</v>
      </c>
      <c r="I355" s="79">
        <v>0.2</v>
      </c>
      <c r="J355" s="61">
        <v>734.53275000000008</v>
      </c>
      <c r="K355" s="79">
        <f t="shared" si="5"/>
        <v>0.49999540525638686</v>
      </c>
      <c r="L355" s="68">
        <v>734.53275000000008</v>
      </c>
      <c r="M355" s="68">
        <v>734.53275000000008</v>
      </c>
      <c r="N355" s="71">
        <v>734.53275000000008</v>
      </c>
      <c r="O355" s="71">
        <v>734.53275000000008</v>
      </c>
      <c r="P355" s="68">
        <v>734.53275000000008</v>
      </c>
      <c r="Q355" s="68">
        <v>734.53275000000008</v>
      </c>
      <c r="R355" s="69" t="s">
        <v>294</v>
      </c>
      <c r="S355" s="69"/>
    </row>
    <row r="356" spans="1:19" s="62" customFormat="1" ht="120" customHeight="1" x14ac:dyDescent="0.25">
      <c r="A356" s="69"/>
      <c r="B356" s="69" t="s">
        <v>268</v>
      </c>
      <c r="C356" s="70" t="s">
        <v>210</v>
      </c>
      <c r="D356" s="69" t="s">
        <v>159</v>
      </c>
      <c r="E356" s="69" t="s">
        <v>305</v>
      </c>
      <c r="F356" s="70" t="s">
        <v>158</v>
      </c>
      <c r="G356" s="70">
        <v>12</v>
      </c>
      <c r="H356" s="61">
        <v>573.96</v>
      </c>
      <c r="I356" s="79">
        <v>0.2</v>
      </c>
      <c r="J356" s="61">
        <v>860.92650000000003</v>
      </c>
      <c r="K356" s="79">
        <f t="shared" si="5"/>
        <v>0.4999764791971566</v>
      </c>
      <c r="L356" s="68">
        <v>860.92650000000003</v>
      </c>
      <c r="M356" s="68">
        <v>860.92650000000003</v>
      </c>
      <c r="N356" s="71">
        <v>860.92650000000003</v>
      </c>
      <c r="O356" s="71">
        <v>860.92650000000003</v>
      </c>
      <c r="P356" s="68">
        <v>860.92650000000003</v>
      </c>
      <c r="Q356" s="68">
        <v>860.92650000000003</v>
      </c>
      <c r="R356" s="69" t="s">
        <v>294</v>
      </c>
      <c r="S356" s="69"/>
    </row>
    <row r="357" spans="1:19" s="62" customFormat="1" ht="120" customHeight="1" x14ac:dyDescent="0.25">
      <c r="A357" s="67"/>
      <c r="B357" s="59" t="s">
        <v>225</v>
      </c>
      <c r="C357" s="60" t="s">
        <v>226</v>
      </c>
      <c r="D357" s="59" t="s">
        <v>159</v>
      </c>
      <c r="E357" s="59" t="s">
        <v>462</v>
      </c>
      <c r="F357" s="60" t="s">
        <v>158</v>
      </c>
      <c r="G357" s="60">
        <v>15</v>
      </c>
      <c r="H357" s="61">
        <v>171.01</v>
      </c>
      <c r="I357" s="79">
        <v>0.2</v>
      </c>
      <c r="J357" s="61">
        <v>256.50450000000001</v>
      </c>
      <c r="K357" s="79">
        <f t="shared" si="5"/>
        <v>0.49993860008186664</v>
      </c>
      <c r="L357" s="68">
        <v>256.50450000000001</v>
      </c>
      <c r="M357" s="68">
        <v>256.50450000000001</v>
      </c>
      <c r="N357" s="68">
        <v>256.50450000000001</v>
      </c>
      <c r="O357" s="68">
        <v>256.50450000000001</v>
      </c>
      <c r="P357" s="68">
        <v>256.50450000000001</v>
      </c>
      <c r="Q357" s="68">
        <v>256.50450000000001</v>
      </c>
      <c r="R357" s="67" t="s">
        <v>232</v>
      </c>
      <c r="S357" s="67"/>
    </row>
    <row r="358" spans="1:19" s="62" customFormat="1" ht="120" customHeight="1" x14ac:dyDescent="0.25">
      <c r="A358" s="69"/>
      <c r="B358" s="69" t="s">
        <v>290</v>
      </c>
      <c r="C358" s="70" t="s">
        <v>218</v>
      </c>
      <c r="D358" s="69" t="s">
        <v>159</v>
      </c>
      <c r="E358" s="69" t="s">
        <v>305</v>
      </c>
      <c r="F358" s="70" t="s">
        <v>158</v>
      </c>
      <c r="G358" s="70">
        <v>12</v>
      </c>
      <c r="H358" s="61">
        <v>709.09</v>
      </c>
      <c r="I358" s="79">
        <v>0.2</v>
      </c>
      <c r="J358" s="61">
        <v>1063.6290000000001</v>
      </c>
      <c r="K358" s="79">
        <f t="shared" si="5"/>
        <v>0.49999153845069033</v>
      </c>
      <c r="L358" s="68">
        <v>1063.6290000000001</v>
      </c>
      <c r="M358" s="68">
        <v>1063.6290000000001</v>
      </c>
      <c r="N358" s="71">
        <v>1063.6290000000001</v>
      </c>
      <c r="O358" s="71">
        <v>1063.6290000000001</v>
      </c>
      <c r="P358" s="68">
        <v>1063.6290000000001</v>
      </c>
      <c r="Q358" s="68">
        <v>1063.6290000000001</v>
      </c>
      <c r="R358" s="69" t="s">
        <v>294</v>
      </c>
      <c r="S358" s="69"/>
    </row>
    <row r="359" spans="1:19" s="62" customFormat="1" ht="120" customHeight="1" x14ac:dyDescent="0.25">
      <c r="A359" s="67"/>
      <c r="B359" s="59" t="s">
        <v>228</v>
      </c>
      <c r="C359" s="60" t="s">
        <v>229</v>
      </c>
      <c r="D359" s="59" t="s">
        <v>159</v>
      </c>
      <c r="E359" s="59" t="s">
        <v>463</v>
      </c>
      <c r="F359" s="60" t="s">
        <v>158</v>
      </c>
      <c r="G359" s="60">
        <v>20</v>
      </c>
      <c r="H359" s="61">
        <v>209.17999999999998</v>
      </c>
      <c r="I359" s="79">
        <v>0.2</v>
      </c>
      <c r="J359" s="61">
        <v>313.75575000000003</v>
      </c>
      <c r="K359" s="79">
        <f t="shared" si="5"/>
        <v>0.49993187685247187</v>
      </c>
      <c r="L359" s="68">
        <v>313.75575000000003</v>
      </c>
      <c r="M359" s="68">
        <v>313.75575000000003</v>
      </c>
      <c r="N359" s="68">
        <v>313.75575000000003</v>
      </c>
      <c r="O359" s="68">
        <v>313.75575000000003</v>
      </c>
      <c r="P359" s="68">
        <v>313.75575000000003</v>
      </c>
      <c r="Q359" s="68">
        <v>313.75575000000003</v>
      </c>
      <c r="R359" s="67" t="s">
        <v>232</v>
      </c>
      <c r="S359" s="67"/>
    </row>
    <row r="360" spans="1:19" s="62" customFormat="1" ht="120" customHeight="1" x14ac:dyDescent="0.25">
      <c r="A360" s="67"/>
      <c r="B360" s="59" t="s">
        <v>230</v>
      </c>
      <c r="C360" s="60" t="s">
        <v>231</v>
      </c>
      <c r="D360" s="59" t="s">
        <v>159</v>
      </c>
      <c r="E360" s="59" t="s">
        <v>464</v>
      </c>
      <c r="F360" s="60" t="s">
        <v>158</v>
      </c>
      <c r="G360" s="60">
        <v>12</v>
      </c>
      <c r="H360" s="61">
        <v>320.62</v>
      </c>
      <c r="I360" s="79">
        <v>0.2</v>
      </c>
      <c r="J360" s="61">
        <v>480.9262500000001</v>
      </c>
      <c r="K360" s="79">
        <f t="shared" si="5"/>
        <v>0.49998830391117233</v>
      </c>
      <c r="L360" s="68">
        <v>480.9262500000001</v>
      </c>
      <c r="M360" s="68">
        <v>480.9262500000001</v>
      </c>
      <c r="N360" s="68">
        <v>480.9262500000001</v>
      </c>
      <c r="O360" s="68">
        <v>480.9262500000001</v>
      </c>
      <c r="P360" s="68">
        <v>480.9262500000001</v>
      </c>
      <c r="Q360" s="68">
        <v>480.9262500000001</v>
      </c>
      <c r="R360" s="67" t="s">
        <v>232</v>
      </c>
      <c r="S360" s="67"/>
    </row>
    <row r="361" spans="1:19" s="62" customFormat="1" ht="120" customHeight="1" x14ac:dyDescent="0.25">
      <c r="A361" s="67"/>
      <c r="B361" s="59" t="s">
        <v>58</v>
      </c>
      <c r="C361" s="60" t="s">
        <v>196</v>
      </c>
      <c r="D361" s="59" t="s">
        <v>159</v>
      </c>
      <c r="E361" s="59" t="s">
        <v>464</v>
      </c>
      <c r="F361" s="60" t="s">
        <v>158</v>
      </c>
      <c r="G361" s="60">
        <v>12</v>
      </c>
      <c r="H361" s="61">
        <v>415.28999999999996</v>
      </c>
      <c r="I361" s="79">
        <v>0.2</v>
      </c>
      <c r="J361" s="61">
        <v>622.92825000000005</v>
      </c>
      <c r="K361" s="79">
        <f t="shared" si="5"/>
        <v>0.49998374629776809</v>
      </c>
      <c r="L361" s="68">
        <v>622.92825000000005</v>
      </c>
      <c r="M361" s="68">
        <v>622.92825000000005</v>
      </c>
      <c r="N361" s="68">
        <v>622.92825000000005</v>
      </c>
      <c r="O361" s="68">
        <v>622.92825000000005</v>
      </c>
      <c r="P361" s="68">
        <v>622.92825000000005</v>
      </c>
      <c r="Q361" s="68">
        <v>622.92825000000005</v>
      </c>
      <c r="R361" s="67" t="s">
        <v>232</v>
      </c>
      <c r="S361" s="67"/>
    </row>
    <row r="362" spans="1:19" s="62" customFormat="1" ht="120" customHeight="1" x14ac:dyDescent="0.25">
      <c r="A362" s="69"/>
      <c r="B362" s="69" t="s">
        <v>291</v>
      </c>
      <c r="C362" s="70" t="s">
        <v>204</v>
      </c>
      <c r="D362" s="69" t="s">
        <v>159</v>
      </c>
      <c r="E362" s="69" t="s">
        <v>465</v>
      </c>
      <c r="F362" s="70" t="s">
        <v>158</v>
      </c>
      <c r="G362" s="70">
        <v>12</v>
      </c>
      <c r="H362" s="61">
        <v>640.79999999999995</v>
      </c>
      <c r="I362" s="79">
        <v>0.2</v>
      </c>
      <c r="J362" s="61">
        <v>961.19100000000003</v>
      </c>
      <c r="K362" s="79">
        <f t="shared" si="5"/>
        <v>0.49998595505617982</v>
      </c>
      <c r="L362" s="68">
        <v>961.19100000000003</v>
      </c>
      <c r="M362" s="68">
        <v>961.19100000000003</v>
      </c>
      <c r="N362" s="71">
        <v>961.19100000000003</v>
      </c>
      <c r="O362" s="71">
        <v>961.19100000000003</v>
      </c>
      <c r="P362" s="68">
        <v>961.19100000000003</v>
      </c>
      <c r="Q362" s="68">
        <v>961.19100000000003</v>
      </c>
      <c r="R362" s="69" t="s">
        <v>294</v>
      </c>
      <c r="S362" s="69"/>
    </row>
    <row r="363" spans="1:19" s="62" customFormat="1" ht="120" customHeight="1" x14ac:dyDescent="0.25">
      <c r="A363" s="69"/>
      <c r="B363" s="69" t="s">
        <v>292</v>
      </c>
      <c r="C363" s="70" t="s">
        <v>213</v>
      </c>
      <c r="D363" s="69" t="s">
        <v>159</v>
      </c>
      <c r="E363" s="69" t="s">
        <v>465</v>
      </c>
      <c r="F363" s="70" t="s">
        <v>158</v>
      </c>
      <c r="G363" s="70">
        <v>12</v>
      </c>
      <c r="H363" s="61">
        <v>709.09</v>
      </c>
      <c r="I363" s="79">
        <v>0.2</v>
      </c>
      <c r="J363" s="61">
        <v>1063.6290000000001</v>
      </c>
      <c r="K363" s="79">
        <f t="shared" si="5"/>
        <v>0.49999153845069033</v>
      </c>
      <c r="L363" s="68">
        <v>1063.6290000000001</v>
      </c>
      <c r="M363" s="68">
        <v>1063.6290000000001</v>
      </c>
      <c r="N363" s="71">
        <v>1063.6290000000001</v>
      </c>
      <c r="O363" s="71">
        <v>1063.6290000000001</v>
      </c>
      <c r="P363" s="68">
        <v>1063.6290000000001</v>
      </c>
      <c r="Q363" s="68">
        <v>1063.6290000000001</v>
      </c>
      <c r="R363" s="69" t="s">
        <v>294</v>
      </c>
      <c r="S363" s="69"/>
    </row>
    <row r="364" spans="1:19" s="62" customFormat="1" ht="120" customHeight="1" x14ac:dyDescent="0.25">
      <c r="A364" s="69"/>
      <c r="B364" s="69" t="s">
        <v>293</v>
      </c>
      <c r="C364" s="70" t="s">
        <v>222</v>
      </c>
      <c r="D364" s="69" t="s">
        <v>159</v>
      </c>
      <c r="E364" s="69" t="s">
        <v>465</v>
      </c>
      <c r="F364" s="70" t="s">
        <v>158</v>
      </c>
      <c r="G364" s="70">
        <v>12</v>
      </c>
      <c r="H364" s="61">
        <v>847.14</v>
      </c>
      <c r="I364" s="79">
        <v>0.2</v>
      </c>
      <c r="J364" s="61">
        <v>1270.71</v>
      </c>
      <c r="K364" s="79">
        <f t="shared" si="5"/>
        <v>0.5</v>
      </c>
      <c r="L364" s="68">
        <v>1270.71</v>
      </c>
      <c r="M364" s="68">
        <v>1270.71</v>
      </c>
      <c r="N364" s="71">
        <v>1270.71</v>
      </c>
      <c r="O364" s="71">
        <v>1270.71</v>
      </c>
      <c r="P364" s="68">
        <v>1270.71</v>
      </c>
      <c r="Q364" s="68">
        <v>1270.71</v>
      </c>
      <c r="R364" s="69" t="s">
        <v>294</v>
      </c>
      <c r="S364" s="69"/>
    </row>
    <row r="365" spans="1:19" s="62" customFormat="1" ht="120" customHeight="1" x14ac:dyDescent="0.25">
      <c r="A365" s="88" t="s">
        <v>0</v>
      </c>
      <c r="B365" s="88" t="s">
        <v>28</v>
      </c>
      <c r="C365" s="97" t="s">
        <v>1</v>
      </c>
      <c r="D365" s="88" t="s">
        <v>2</v>
      </c>
      <c r="E365" s="102" t="s">
        <v>3</v>
      </c>
      <c r="F365" s="102" t="s">
        <v>4</v>
      </c>
      <c r="G365" s="104" t="s">
        <v>5</v>
      </c>
      <c r="H365" s="106" t="s">
        <v>6</v>
      </c>
      <c r="I365" s="102" t="s">
        <v>9</v>
      </c>
      <c r="J365" s="106" t="s">
        <v>25</v>
      </c>
      <c r="K365" s="102" t="s">
        <v>33</v>
      </c>
      <c r="L365" s="106"/>
      <c r="M365" s="119"/>
      <c r="N365" s="119"/>
      <c r="O365" s="119"/>
      <c r="P365" s="119"/>
      <c r="Q365" s="119"/>
      <c r="R365" s="102" t="s">
        <v>34</v>
      </c>
      <c r="S365" s="102" t="s">
        <v>35</v>
      </c>
    </row>
    <row r="366" spans="1:19" s="62" customFormat="1" ht="120" customHeight="1" x14ac:dyDescent="0.25">
      <c r="A366" s="90" t="s">
        <v>24</v>
      </c>
      <c r="B366" s="94" t="s">
        <v>11</v>
      </c>
      <c r="C366" s="99" t="s">
        <v>15</v>
      </c>
      <c r="D366" s="99" t="s">
        <v>12</v>
      </c>
      <c r="E366" s="99" t="s">
        <v>29</v>
      </c>
      <c r="F366" s="99" t="s">
        <v>31</v>
      </c>
      <c r="G366" s="94" t="s">
        <v>13</v>
      </c>
      <c r="H366" s="108" t="s">
        <v>160</v>
      </c>
      <c r="I366" s="94" t="s">
        <v>10</v>
      </c>
      <c r="J366" s="108" t="s">
        <v>14</v>
      </c>
      <c r="K366" s="94" t="s">
        <v>30</v>
      </c>
      <c r="L366" s="115"/>
      <c r="M366" s="120"/>
      <c r="N366" s="120"/>
      <c r="O366" s="120"/>
      <c r="P366" s="120"/>
      <c r="Q366" s="120"/>
      <c r="R366" s="94" t="s">
        <v>49</v>
      </c>
      <c r="S366" s="94" t="s">
        <v>32</v>
      </c>
    </row>
    <row r="367" spans="1:19" s="62" customFormat="1" ht="120" customHeight="1" x14ac:dyDescent="0.25">
      <c r="A367" s="90"/>
      <c r="B367" s="94"/>
      <c r="C367" s="99"/>
      <c r="D367" s="99"/>
      <c r="E367" s="99"/>
      <c r="F367" s="99"/>
      <c r="G367" s="94"/>
      <c r="H367" s="108"/>
      <c r="I367" s="94"/>
      <c r="J367" s="108"/>
      <c r="K367" s="94"/>
      <c r="L367" s="117" t="s">
        <v>8</v>
      </c>
      <c r="M367" s="117" t="s">
        <v>20</v>
      </c>
      <c r="N367" s="117" t="s">
        <v>21</v>
      </c>
      <c r="O367" s="117" t="s">
        <v>22</v>
      </c>
      <c r="P367" s="117" t="s">
        <v>23</v>
      </c>
      <c r="Q367" s="117" t="s">
        <v>26</v>
      </c>
      <c r="R367" s="94"/>
      <c r="S367" s="94"/>
    </row>
    <row r="446" spans="2:17" s="5" customFormat="1" ht="21" x14ac:dyDescent="0.4">
      <c r="B446" s="15" t="s">
        <v>45</v>
      </c>
      <c r="C446" s="36"/>
      <c r="F446" s="24"/>
      <c r="G446" s="41"/>
      <c r="H446" s="34"/>
      <c r="I446" s="23"/>
      <c r="J446" s="29"/>
      <c r="K446" s="23"/>
      <c r="L446" s="48"/>
      <c r="M446" s="48"/>
      <c r="N446" s="49"/>
      <c r="O446" s="49"/>
      <c r="P446" s="48"/>
      <c r="Q446" s="50"/>
    </row>
    <row r="447" spans="2:17" s="6" customFormat="1" x14ac:dyDescent="0.3">
      <c r="B447" s="9" t="s">
        <v>16</v>
      </c>
      <c r="C447" s="37"/>
      <c r="D447" s="16" t="s">
        <v>46</v>
      </c>
      <c r="E447" s="10"/>
      <c r="F447" s="25"/>
      <c r="G447" s="42"/>
      <c r="H447" s="30"/>
      <c r="I447" s="25"/>
      <c r="J447" s="30"/>
      <c r="K447" s="25"/>
      <c r="L447" s="51"/>
      <c r="M447" s="51"/>
      <c r="N447" s="52"/>
      <c r="O447" s="53"/>
      <c r="P447" s="54"/>
      <c r="Q447" s="54"/>
    </row>
    <row r="448" spans="2:17" x14ac:dyDescent="0.3">
      <c r="B448" s="14" t="s">
        <v>0</v>
      </c>
      <c r="C448" s="38"/>
      <c r="D448" s="11" t="s">
        <v>36</v>
      </c>
      <c r="E448" s="12"/>
      <c r="F448" s="26"/>
      <c r="G448" s="43"/>
      <c r="H448" s="30"/>
      <c r="I448" s="26"/>
      <c r="J448" s="30"/>
      <c r="K448" s="26"/>
      <c r="L448" s="55"/>
      <c r="M448" s="55"/>
      <c r="N448" s="56"/>
    </row>
    <row r="449" spans="2:14" x14ac:dyDescent="0.3">
      <c r="B449" s="14" t="s">
        <v>28</v>
      </c>
      <c r="C449" s="38"/>
      <c r="D449" s="11" t="s">
        <v>17</v>
      </c>
      <c r="E449" s="12"/>
      <c r="F449" s="26"/>
      <c r="G449" s="43"/>
      <c r="H449" s="30"/>
      <c r="I449" s="26"/>
      <c r="J449" s="30"/>
      <c r="K449" s="26"/>
      <c r="L449" s="55"/>
      <c r="M449" s="55"/>
      <c r="N449" s="56"/>
    </row>
    <row r="450" spans="2:14" x14ac:dyDescent="0.3">
      <c r="B450" s="14" t="s">
        <v>1</v>
      </c>
      <c r="C450" s="38"/>
      <c r="D450" s="19" t="s">
        <v>18</v>
      </c>
      <c r="E450" s="20"/>
      <c r="F450" s="27"/>
      <c r="G450" s="44"/>
      <c r="H450" s="31"/>
      <c r="I450" s="27"/>
      <c r="J450" s="31"/>
      <c r="K450" s="27"/>
      <c r="L450" s="57"/>
      <c r="M450" s="57"/>
      <c r="N450" s="58"/>
    </row>
    <row r="451" spans="2:14" ht="18" x14ac:dyDescent="0.3">
      <c r="B451" s="14" t="s">
        <v>2</v>
      </c>
      <c r="C451" s="38"/>
      <c r="D451" s="19" t="s">
        <v>39</v>
      </c>
      <c r="E451" s="20"/>
      <c r="F451" s="27"/>
      <c r="G451" s="44"/>
      <c r="H451" s="31"/>
      <c r="I451" s="27"/>
      <c r="J451" s="31"/>
      <c r="K451" s="27"/>
      <c r="L451" s="57"/>
      <c r="M451" s="57"/>
      <c r="N451" s="58"/>
    </row>
    <row r="452" spans="2:14" x14ac:dyDescent="0.3">
      <c r="B452" s="14" t="s">
        <v>3</v>
      </c>
      <c r="C452" s="38"/>
      <c r="D452" s="19" t="s">
        <v>47</v>
      </c>
      <c r="E452" s="20"/>
      <c r="F452" s="27"/>
      <c r="G452" s="44"/>
      <c r="H452" s="31"/>
      <c r="I452" s="27"/>
      <c r="J452" s="31"/>
      <c r="K452" s="27"/>
      <c r="L452" s="57"/>
      <c r="M452" s="57"/>
      <c r="N452" s="58"/>
    </row>
    <row r="453" spans="2:14" x14ac:dyDescent="0.3">
      <c r="B453" s="14" t="s">
        <v>4</v>
      </c>
      <c r="C453" s="38"/>
      <c r="D453" s="19" t="s">
        <v>38</v>
      </c>
      <c r="E453" s="20"/>
      <c r="F453" s="27"/>
      <c r="G453" s="44"/>
      <c r="H453" s="31"/>
      <c r="I453" s="27"/>
      <c r="J453" s="31"/>
      <c r="K453" s="27"/>
      <c r="L453" s="57"/>
      <c r="M453" s="57"/>
      <c r="N453" s="58"/>
    </row>
    <row r="454" spans="2:14" ht="30" customHeight="1" x14ac:dyDescent="0.3">
      <c r="B454" s="14" t="s">
        <v>5</v>
      </c>
      <c r="C454" s="38"/>
      <c r="D454" s="122" t="s">
        <v>40</v>
      </c>
      <c r="E454" s="123"/>
      <c r="F454" s="123"/>
      <c r="G454" s="123"/>
      <c r="H454" s="123"/>
      <c r="I454" s="123"/>
      <c r="J454" s="123"/>
      <c r="K454" s="123"/>
      <c r="L454" s="123"/>
      <c r="M454" s="123"/>
      <c r="N454" s="124"/>
    </row>
    <row r="455" spans="2:14" x14ac:dyDescent="0.3">
      <c r="B455" s="14" t="s">
        <v>6</v>
      </c>
      <c r="C455" s="38"/>
      <c r="D455" s="19" t="s">
        <v>41</v>
      </c>
      <c r="E455" s="20"/>
      <c r="F455" s="27"/>
      <c r="G455" s="44"/>
      <c r="H455" s="31"/>
      <c r="I455" s="27"/>
      <c r="J455" s="31"/>
      <c r="K455" s="27"/>
      <c r="L455" s="57"/>
      <c r="M455" s="57"/>
      <c r="N455" s="58"/>
    </row>
    <row r="456" spans="2:14" x14ac:dyDescent="0.3">
      <c r="B456" s="14" t="s">
        <v>9</v>
      </c>
      <c r="C456" s="38"/>
      <c r="D456" s="11" t="s">
        <v>42</v>
      </c>
      <c r="E456" s="12"/>
      <c r="F456" s="26"/>
      <c r="G456" s="43"/>
      <c r="H456" s="30"/>
      <c r="I456" s="26"/>
      <c r="J456" s="30"/>
      <c r="K456" s="26"/>
      <c r="L456" s="55"/>
      <c r="M456" s="55"/>
      <c r="N456" s="56"/>
    </row>
    <row r="457" spans="2:14" x14ac:dyDescent="0.3">
      <c r="B457" s="14" t="s">
        <v>25</v>
      </c>
      <c r="C457" s="38"/>
      <c r="D457" s="11" t="s">
        <v>43</v>
      </c>
      <c r="E457" s="12"/>
      <c r="F457" s="26"/>
      <c r="G457" s="43"/>
      <c r="H457" s="30"/>
      <c r="I457" s="26"/>
      <c r="J457" s="30"/>
      <c r="K457" s="26"/>
      <c r="L457" s="55"/>
      <c r="M457" s="55"/>
      <c r="N457" s="56"/>
    </row>
    <row r="458" spans="2:14" x14ac:dyDescent="0.3">
      <c r="B458" s="14" t="s">
        <v>33</v>
      </c>
      <c r="C458" s="38"/>
      <c r="D458" s="11" t="s">
        <v>44</v>
      </c>
      <c r="E458" s="12"/>
      <c r="F458" s="26"/>
      <c r="G458" s="43"/>
      <c r="H458" s="30"/>
      <c r="I458" s="26"/>
      <c r="J458" s="30"/>
      <c r="K458" s="26"/>
      <c r="L458" s="55"/>
      <c r="M458" s="55"/>
      <c r="N458" s="56"/>
    </row>
    <row r="459" spans="2:14" x14ac:dyDescent="0.3">
      <c r="B459" s="14" t="s">
        <v>34</v>
      </c>
      <c r="C459" s="38"/>
      <c r="D459" s="11" t="s">
        <v>50</v>
      </c>
      <c r="E459" s="12"/>
      <c r="F459" s="26"/>
      <c r="G459" s="43"/>
      <c r="H459" s="30"/>
      <c r="I459" s="26"/>
      <c r="J459" s="30"/>
      <c r="K459" s="26"/>
      <c r="L459" s="55"/>
      <c r="M459" s="55"/>
      <c r="N459" s="56"/>
    </row>
    <row r="460" spans="2:14" x14ac:dyDescent="0.3">
      <c r="B460" s="14" t="s">
        <v>35</v>
      </c>
      <c r="C460" s="38"/>
      <c r="D460" s="11" t="s">
        <v>37</v>
      </c>
      <c r="E460" s="12"/>
      <c r="F460" s="26"/>
      <c r="G460" s="43"/>
      <c r="H460" s="30"/>
      <c r="I460" s="26"/>
      <c r="J460" s="30"/>
      <c r="K460" s="26"/>
      <c r="L460" s="55"/>
      <c r="M460" s="55"/>
      <c r="N460" s="56"/>
    </row>
  </sheetData>
  <mergeCells count="3">
    <mergeCell ref="D454:N454"/>
    <mergeCell ref="D7:F7"/>
    <mergeCell ref="A3:S3"/>
  </mergeCells>
  <pageMargins left="0.2" right="0.23" top="0.41" bottom="1" header="0.22" footer="0.5"/>
  <pageSetup paperSize="9" scale="48" fitToHeight="2" orientation="landscape" r:id="rId1"/>
  <headerFooter alignWithMargins="0">
    <oddFooter>&amp;R&amp;8&amp;D &amp;T
&amp;Z&amp;F</oddFooter>
  </headerFooter>
  <colBreaks count="1" manualBreakCount="1">
    <brk id="13" max="3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Sheet1!Область_печати</vt:lpstr>
    </vt:vector>
  </TitlesOfParts>
  <Company>Maxidom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Федеев</dc:creator>
  <cp:lastModifiedBy>acer</cp:lastModifiedBy>
  <cp:lastPrinted>2017-09-27T12:41:45Z</cp:lastPrinted>
  <dcterms:created xsi:type="dcterms:W3CDTF">2002-07-02T12:48:53Z</dcterms:created>
  <dcterms:modified xsi:type="dcterms:W3CDTF">2026-03-10T12:32:44Z</dcterms:modified>
</cp:coreProperties>
</file>